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https://netorgft13984886.sharepoint.com/sites/TONOPPORTUNITIES/Shared Documents/25-AX-01 -Axxela 10MW Development/"/>
    </mc:Choice>
  </mc:AlternateContent>
  <xr:revisionPtr revIDLastSave="7684" documentId="8_{3FA65BEE-073B-4627-80F8-DFA81C306B95}" xr6:coauthVersionLast="47" xr6:coauthVersionMax="47" xr10:uidLastSave="{16E876C9-D972-4E11-9734-5EAA8E004A5B}"/>
  <bookViews>
    <workbookView xWindow="-110" yWindow="-110" windowWidth="25180" windowHeight="16140" tabRatio="811" firstSheet="1" activeTab="1" xr2:uid="{F7281713-254A-4C3F-B329-FCB4EC105C7D}"/>
  </bookViews>
  <sheets>
    <sheet name="Material Procurement" sheetId="15" state="hidden" r:id="rId1"/>
    <sheet name="Axxela 10MW - BTC model" sheetId="23" r:id="rId2"/>
    <sheet name="Bitcoin Price Forecast Models" sheetId="33" r:id="rId3"/>
    <sheet name="Ogboinbiri Project Budget" sheetId="18" state="hidden" r:id="rId4"/>
    <sheet name="Site2 Overview" sheetId="8" state="hidden" r:id="rId5"/>
    <sheet name="Site 2 Cost Model" sheetId="20" state="hidden" r:id="rId6"/>
    <sheet name="Site 2 Project Budget" sheetId="22"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23Graph_AFINANZRECHNUNG" hidden="1">'[1]Finanz.rechn.'!#REF!</definedName>
    <definedName name="__123Graph_BFINANZRECHNUNG" hidden="1">'[1]Finanz.rechn.'!#REF!</definedName>
    <definedName name="__123Graph_CFINANZRECHNUNG" hidden="1">'[1]Finanz.rechn.'!#REF!</definedName>
    <definedName name="__123Graph_DFINANZRECHNUNG" hidden="1">'[1]Finanz.rechn.'!#REF!</definedName>
    <definedName name="__IntlFixup" hidden="1">TRUE</definedName>
    <definedName name="_0_ICQ_ConstInd">#REF!</definedName>
    <definedName name="_0_ICQ_Contingency">#REF!</definedName>
    <definedName name="_0_ICQ_Engineering">#REF!</definedName>
    <definedName name="_0_ICQ_FldOfcInd">#REF!</definedName>
    <definedName name="_0_ICQ_Freight">#REF!</definedName>
    <definedName name="_0_ICQ_OtherProjCosts">#REF!</definedName>
    <definedName name="_0_ICQ_TaxesPermits">#REF!</definedName>
    <definedName name="_0_SLQ_MetricsDIR">#REF!</definedName>
    <definedName name="_0_SLQ_MetricsIND">#REF!</definedName>
    <definedName name="_0_TAQ_TDC_AcctSumry">#REF!</definedName>
    <definedName name="_0_TAQ_TDC_COASumry">'[2]TDC COA Sumry'!$A$6</definedName>
    <definedName name="_0_TAQ_TDC_ItemDetsByOrigin">'[2]TDC Item Dets'!$A$6</definedName>
    <definedName name="_0_TAQ_TDC_ItemSumry">#REF!</definedName>
    <definedName name="_0_TAQ_TDC_KeyQtySumry">'[2]TDC Key Qty Sumry'!$A$6</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_KQQ_InstTerms">#REF!</definedName>
    <definedName name="_6_KQQ_InstWire">#REF!</definedName>
    <definedName name="_6_KQQ_RacewayTot">#REF!</definedName>
    <definedName name="_6_KQQ_TotCount_InstJBox">#REF!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Fill" hidden="1">[1]Information!$E$11</definedName>
    <definedName name="_Order1" hidden="1">255</definedName>
    <definedName name="_Order2" hidden="1">255</definedName>
    <definedName name="_SI_0_TDC_COASumry">'[2]COA Sumry - Std Imp'!$A$6</definedName>
    <definedName name="_SI_0_TDC_ContrSumry">'[2]Contr TDC - Std Imp'!$A$6</definedName>
    <definedName name="_SI_0_TDC_ItemSumry">'[2]Item Sumry - Std Imp'!$A$6</definedName>
    <definedName name="_SI_0_TDC_UnitCosts">'[2]Unit Costs - Std Imp'!$A$6</definedName>
    <definedName name="_SI_0_TDC_UnitMH">'[2]Unit MH - Std Imp'!$A$6</definedName>
    <definedName name="_SI_0_TIC_Overall">'[2]Proj TIC - Std Imp'!$A$6</definedName>
    <definedName name="AMB2OER">[3]Equipment!$J$19</definedName>
    <definedName name="AMB2ON">[3]Equipment!$L$19</definedName>
    <definedName name="AMB2OOR">[3]Equipment!$K$19</definedName>
    <definedName name="AMB2OR">[3]Equipment!$E$19</definedName>
    <definedName name="AMB2ORR">[3]Equipment!$I$19</definedName>
    <definedName name="AMB2RR">[3]Equipment!$D$19</definedName>
    <definedName name="AMB4N">[3]Equipment!$L$18</definedName>
    <definedName name="AMB4OER">[3]Equipment!$J$18</definedName>
    <definedName name="AMB4OOR">[3]Equipment!$K$18</definedName>
    <definedName name="AMB4OR">[3]Equipment!$E$18</definedName>
    <definedName name="AMB4ORR">[3]Equipment!$I$18</definedName>
    <definedName name="AMB4RR">[3]Equipment!$D$18</definedName>
    <definedName name="ATHYN">[3]Equipment!$L$50</definedName>
    <definedName name="ATHYOER">[3]Equipment!$J$50</definedName>
    <definedName name="ATHYOR">[3]Equipment!$E$50</definedName>
    <definedName name="ATHYRR">[3]Equipment!$D$50</definedName>
    <definedName name="AUTON">[3]Equipment!$L$33</definedName>
    <definedName name="AUTOOER">[3]Equipment!$J$33</definedName>
    <definedName name="AUTOOOR">[3]Equipment!$K$33</definedName>
    <definedName name="AUTOORR">[3]Equipment!$I$33</definedName>
    <definedName name="B212N">[3]Equipment!$L$48</definedName>
    <definedName name="B212OER">[3]Equipment!$J$48</definedName>
    <definedName name="B212OOR">[3]Equipment!$K$48</definedName>
    <definedName name="B212OR">[3]Equipment!$E$48</definedName>
    <definedName name="B212ORR">[3]Equipment!$I$48</definedName>
    <definedName name="B212RR">[3]Equipment!$D$48</definedName>
    <definedName name="B224N">[3]Equipment!$L$47</definedName>
    <definedName name="B224OER">[3]Equipment!$J$47</definedName>
    <definedName name="B224OOR">[3]Equipment!$K$47</definedName>
    <definedName name="B224OR">[3]Equipment!$E$47</definedName>
    <definedName name="B224ORR">[3]Equipment!$I$47</definedName>
    <definedName name="B224RR">[3]Equipment!$D$47</definedName>
    <definedName name="B235N">[3]Equipment!$L$87</definedName>
    <definedName name="B235OER">[3]Equipment!$J$87</definedName>
    <definedName name="B235OOR">[3]Equipment!$K$87</definedName>
    <definedName name="B235OR">[3]Equipment!$E$87</definedName>
    <definedName name="B235ORR">[3]Equipment!$I$87</definedName>
    <definedName name="B235RR">[3]Equipment!$D$87</definedName>
    <definedName name="B236N">[3]Equipment!$L$46</definedName>
    <definedName name="B236OER">[3]Equipment!$J$46</definedName>
    <definedName name="B236OOR">[3]Equipment!$K$46</definedName>
    <definedName name="B236OR">[3]Equipment!$E$46</definedName>
    <definedName name="B236ORR">[3]Equipment!$I$46</definedName>
    <definedName name="B236RR">[3]Equipment!$D$46</definedName>
    <definedName name="B245N">[3]Equipment!$L$88</definedName>
    <definedName name="B245OER">[3]Equipment!$J$88</definedName>
    <definedName name="B245OOR">[3]Equipment!$K$88</definedName>
    <definedName name="B245OR">[3]Equipment!$E$88</definedName>
    <definedName name="B245ORR">[3]Equipment!$I$88</definedName>
    <definedName name="B245RR">[3]Equipment!$D$88</definedName>
    <definedName name="B2MN">[3]Equipment!$L$49</definedName>
    <definedName name="B2MOER">[3]Equipment!$J$49</definedName>
    <definedName name="B2MOOR">[3]Equipment!$K$49</definedName>
    <definedName name="B2MOR">[3]Equipment!$E$49</definedName>
    <definedName name="B2MORR">[3]Equipment!$I$49</definedName>
    <definedName name="B2MRR">[3]Equipment!$D$49</definedName>
    <definedName name="B325N">[3]Equipment!$L$91</definedName>
    <definedName name="B325OER">[3]Equipment!$J$91</definedName>
    <definedName name="B325OOR">[3]Equipment!$K$91</definedName>
    <definedName name="B325OR">[3]Equipment!$E$91</definedName>
    <definedName name="B325ORR">[3]Equipment!$I$91</definedName>
    <definedName name="B325RR">[3]Equipment!$D$91</definedName>
    <definedName name="B330N">[3]Equipment!$L$89</definedName>
    <definedName name="B330OER">[3]Equipment!$J$89</definedName>
    <definedName name="B330OOR">[3]Equipment!$K$89</definedName>
    <definedName name="B330OR">[3]Equipment!$E$89</definedName>
    <definedName name="B330ORR">[3]Equipment!$I$89</definedName>
    <definedName name="B330RR">[3]Equipment!$D$89</definedName>
    <definedName name="B345N">[3]Equipment!$L$86</definedName>
    <definedName name="B345OER">[3]Equipment!$J$86</definedName>
    <definedName name="B345OOR">[3]Equipment!$K$86</definedName>
    <definedName name="B345OR">[3]Equipment!$E$86</definedName>
    <definedName name="B345ORR">[3]Equipment!$I$86</definedName>
    <definedName name="B345RR">[3]Equipment!$D$86</definedName>
    <definedName name="B375N">[3]Equipment!$L$90</definedName>
    <definedName name="B375OER">[3]Equipment!$J$90</definedName>
    <definedName name="B375OOR">[3]Equipment!$K$90</definedName>
    <definedName name="B375OR">[3]Equipment!$E$90</definedName>
    <definedName name="B375ORR">[3]Equipment!$I$90</definedName>
    <definedName name="B375RR">[3]Equipment!$D$90</definedName>
    <definedName name="BELTN">[3]Equipment!$L$128</definedName>
    <definedName name="BELTOR">[3]Equipment!$E$128</definedName>
    <definedName name="BELTRR">[3]Equipment!$D$128</definedName>
    <definedName name="Bidder1">#REF!</definedName>
    <definedName name="Bidder2">#REF!</definedName>
    <definedName name="Bidder3">#REF!</definedName>
    <definedName name="Bidder4">#REF!</definedName>
    <definedName name="Bidder5">#REF!</definedName>
    <definedName name="Bidder6">#REF!</definedName>
    <definedName name="BM36N">[3]Equipment!$L$103</definedName>
    <definedName name="BM36OER">[3]Equipment!$J$103</definedName>
    <definedName name="BM36OOR">[3]Equipment!$K$103</definedName>
    <definedName name="BM36OR">[3]Equipment!$E$103</definedName>
    <definedName name="BM36ORR">[3]Equipment!$I$103</definedName>
    <definedName name="BM36RR">[3]Equipment!$D$103</definedName>
    <definedName name="BM48N">[3]Equipment!$L$104</definedName>
    <definedName name="BM48OER">[3]Equipment!$J$104</definedName>
    <definedName name="BM48OOR">[3]Equipment!$K$104</definedName>
    <definedName name="BM48OR">[3]Equipment!$E$104</definedName>
    <definedName name="BM48ORR">[3]Equipment!$I$104</definedName>
    <definedName name="BM48RR">[3]Equipment!$D$104</definedName>
    <definedName name="BO56N">[3]Equipment!$L$108</definedName>
    <definedName name="BO56OER">[3]Equipment!$J$108</definedName>
    <definedName name="BO56OOR">[3]Equipment!$K$108</definedName>
    <definedName name="BO56OR">[3]Equipment!$E$108</definedName>
    <definedName name="BO56ORR">[3]Equipment!$I$108</definedName>
    <definedName name="BO56RR">[3]Equipment!$D$108</definedName>
    <definedName name="BS30N">[3]Equipment!$L$102</definedName>
    <definedName name="BS30OER">[3]Equipment!$J$102</definedName>
    <definedName name="BS30OOR">[3]Equipment!$K$102</definedName>
    <definedName name="BS30ORR">[3]Equipment!$I$102</definedName>
    <definedName name="BS48N">[3]Equipment!$L$105</definedName>
    <definedName name="BS48OER">[3]Equipment!$J$105</definedName>
    <definedName name="BS48OOR">[3]Equipment!$K$105</definedName>
    <definedName name="BS48ORR">[3]Equipment!$I$105</definedName>
    <definedName name="BSCOUNT">'[4]Front Sheet'!$Y$2</definedName>
    <definedName name="BT">[3]MI!$O$35</definedName>
    <definedName name="BV30N">[3]Equipment!$L$124</definedName>
    <definedName name="BV30OR">[3]Equipment!$E$124</definedName>
    <definedName name="BV30RR">[3]Equipment!$D$124</definedName>
    <definedName name="BV42N">[3]Equipment!$L$125</definedName>
    <definedName name="BV42OOR">[3]Equipment!$K$125</definedName>
    <definedName name="BV42OR">[3]Equipment!$E$125</definedName>
    <definedName name="BV42ORR">[3]Equipment!$I$125</definedName>
    <definedName name="BV42RR">[3]Equipment!$D$125</definedName>
    <definedName name="BV48N">[3]Equipment!$L$126</definedName>
    <definedName name="BV48OOR">[3]Equipment!$K$126</definedName>
    <definedName name="BV48OR">[3]Equipment!$E$126</definedName>
    <definedName name="BV48ORR">[3]Equipment!$I$126</definedName>
    <definedName name="BV48RR">[3]Equipment!$D$126</definedName>
    <definedName name="CD">[3]SW!$J$7</definedName>
    <definedName name="CEH">[3]MI!$P$54</definedName>
    <definedName name="CEQ">[3]MI!$G$54</definedName>
    <definedName name="CER">[3]MI!$M$54</definedName>
    <definedName name="CFDVMgrMode" hidden="1">"DataValidation"</definedName>
    <definedName name="CL78N">[3]Equipment!$L$84</definedName>
    <definedName name="CL78OER">[3]Equipment!$J$84</definedName>
    <definedName name="CL78OOR">[3]Equipment!$K$84</definedName>
    <definedName name="CL78OR">[3]Equipment!$E$84</definedName>
    <definedName name="CL78ORR">[3]Equipment!$I$84</definedName>
    <definedName name="CL78RR">[3]Equipment!$D$84</definedName>
    <definedName name="CL98N">[3]Equipment!$L$83</definedName>
    <definedName name="CL98OER">[3]Equipment!$J$83</definedName>
    <definedName name="CL98OOR">[3]Equipment!$K$83</definedName>
    <definedName name="CL98OR">[3]Equipment!$E$83</definedName>
    <definedName name="CL98ORR">[3]Equipment!$I$83</definedName>
    <definedName name="CL98RR">[3]Equipment!$D$83</definedName>
    <definedName name="CM10N">[3]Equipment!$L$100</definedName>
    <definedName name="CM10OER">[3]Equipment!$J$100</definedName>
    <definedName name="CM10OOR">[3]Equipment!$K$100</definedName>
    <definedName name="CM10OR">[3]Equipment!$E$100</definedName>
    <definedName name="CM10ORR">[3]Equipment!$I$100</definedName>
    <definedName name="CM10RR">[3]Equipment!$D$100</definedName>
    <definedName name="CMT">[3]MI!$K$79</definedName>
    <definedName name="ContractDescription">#REF!</definedName>
    <definedName name="contractnolink">#REF!</definedName>
    <definedName name="ControlEstName" hidden="1">"C:\Users\KSWCON~1\AppData\Local\Temp\{5F7C1E42-9770-4305-9A47-B3939E267E9B}\{092CD622-8BF9-42AA-9C2F-2B7E8E5BB66D}.xlsb"</definedName>
    <definedName name="CP03N">[3]Equipment!$L$145</definedName>
    <definedName name="CP03OER">[3]Equipment!$J$145</definedName>
    <definedName name="CP03OOR">[3]Equipment!$K$145</definedName>
    <definedName name="CP03OR">[3]Equipment!$E$145</definedName>
    <definedName name="CP03ORR">[3]Equipment!$I$145</definedName>
    <definedName name="CP03RR">[3]Equipment!$D$145</definedName>
    <definedName name="CP05N">[3]Equipment!$L$144</definedName>
    <definedName name="CP05OER">[3]Equipment!$J$144</definedName>
    <definedName name="CP05OOR">[3]Equipment!$K$144</definedName>
    <definedName name="CP05OR">[3]Equipment!$E$144</definedName>
    <definedName name="CP05ORR">[3]Equipment!$I$144</definedName>
    <definedName name="CP05RR">[3]Equipment!$D$144</definedName>
    <definedName name="CP09N">[3]Equipment!$L$146</definedName>
    <definedName name="CP09OER">[3]Equipment!$J$146</definedName>
    <definedName name="CP09OOR">[3]Equipment!$K$146</definedName>
    <definedName name="CP09OR">[3]Equipment!$E$146</definedName>
    <definedName name="CP09ORR">[3]Equipment!$I$146</definedName>
    <definedName name="CP09RR">[3]Equipment!$D$146</definedName>
    <definedName name="CP16N">[3]Equipment!$L$143</definedName>
    <definedName name="CP16OER">[3]Equipment!$J$143</definedName>
    <definedName name="CP16OOR">[3]Equipment!$K$143</definedName>
    <definedName name="CP16OR">[3]Equipment!$E$143</definedName>
    <definedName name="CP16ORR">[3]Equipment!$I$143</definedName>
    <definedName name="CP16RR">[3]Equipment!$D$143</definedName>
    <definedName name="CPOER">[3]Equipment!$J$143</definedName>
    <definedName name="CR36N">[3]Equipment!$L$182</definedName>
    <definedName name="CR36OER">[3]Equipment!$J$182</definedName>
    <definedName name="CR36OOR">[3]Equipment!$K$182</definedName>
    <definedName name="CR36OR">[3]Equipment!$E$182</definedName>
    <definedName name="CR36ORR">[3]Equipment!$I$182</definedName>
    <definedName name="CR36RR">[3]Equipment!$D$182</definedName>
    <definedName name="CRLT">[3]MI!$Q$86</definedName>
    <definedName name="CRM">[3]MI!$N$88</definedName>
    <definedName name="CRMT">[3]MI!$N$83</definedName>
    <definedName name="CRSCT">[3]MI!$N$84</definedName>
    <definedName name="CRT">[3]MI!$Q$88</definedName>
    <definedName name="CRTE">[3]MI!$K$86</definedName>
    <definedName name="CST">#REF!</definedName>
    <definedName name="CT10N">[3]Equipment!$L$101</definedName>
    <definedName name="CT10OER">[3]Equipment!$J$101</definedName>
    <definedName name="CT10OOR">[3]Equipment!$K$101</definedName>
    <definedName name="CT10OR">[3]Equipment!$E$101</definedName>
    <definedName name="CT10ORR">[3]Equipment!$I$101</definedName>
    <definedName name="CT10RR">[3]Equipment!$D$101</definedName>
    <definedName name="cWksPerMonth">4.33</definedName>
    <definedName name="D">[5]Cover!$H$1</definedName>
    <definedName name="D40WN">[3]Equipment!$L$79</definedName>
    <definedName name="D40WOER">[3]Equipment!$J$79</definedName>
    <definedName name="D40WOOR">[3]Equipment!$K$79</definedName>
    <definedName name="D40WOR">[3]Equipment!$E$79</definedName>
    <definedName name="D40WORR">[3]Equipment!$I$79</definedName>
    <definedName name="D40WRR">[3]Equipment!$D$79</definedName>
    <definedName name="D6LN">[3]Equipment!$L$67</definedName>
    <definedName name="D6LOER">[3]Equipment!$J$67</definedName>
    <definedName name="D6LOOR">[3]Equipment!$K$67</definedName>
    <definedName name="D6LOR">[3]Equipment!$E$67</definedName>
    <definedName name="D6LORR">[3]Equipment!$I$67</definedName>
    <definedName name="D6LRR">[3]Equipment!$D$67</definedName>
    <definedName name="D6WN">[3]Equipment!$L$68</definedName>
    <definedName name="D6WOER">[3]Equipment!$J$68</definedName>
    <definedName name="D6WOOR">[3]Equipment!$K$68</definedName>
    <definedName name="D6WOR">[3]Equipment!$E$68</definedName>
    <definedName name="D6WORR">[3]Equipment!$I$68</definedName>
    <definedName name="D6WRR">[3]Equipment!$D$68</definedName>
    <definedName name="D710N">[3]Equipment!$L$77</definedName>
    <definedName name="D710OER">[3]Equipment!$J$77</definedName>
    <definedName name="D710OOR">[3]Equipment!$K$77</definedName>
    <definedName name="D710OR">[3]Equipment!$E$77</definedName>
    <definedName name="D710ORR">[3]Equipment!$I$77</definedName>
    <definedName name="D710RR">[3]Equipment!$D$77</definedName>
    <definedName name="D7HW0ER">[3]Equipment!$J$66</definedName>
    <definedName name="D7HWN">[3]Equipment!$L$66</definedName>
    <definedName name="D7HWOOR">[3]Equipment!$K$66</definedName>
    <definedName name="D7HWOR">[3]Equipment!$E$66</definedName>
    <definedName name="D7HWORR">[3]Equipment!$I$66</definedName>
    <definedName name="D7HWRR">[3]Equipment!$D$66</definedName>
    <definedName name="D8KWN">[3]Equipment!$L$65</definedName>
    <definedName name="D8KWOER">[3]Equipment!$J$65</definedName>
    <definedName name="D8KWOOR">[3]Equipment!$K$65</definedName>
    <definedName name="D8KWORR">[3]Equipment!$I$65</definedName>
    <definedName name="D8KWRR">[3]Equipment!$C$65</definedName>
    <definedName name="D8NRN">[3]Equipment!$L$64</definedName>
    <definedName name="d8nroer">[3]Equipment!$J$64</definedName>
    <definedName name="D8NROOR">[3]Equipment!$K$64</definedName>
    <definedName name="D8NROR">[3]Equipment!$E$64</definedName>
    <definedName name="D8NRORR">[3]Equipment!$I$64</definedName>
    <definedName name="D8NRRR">[3]Equipment!$D$64</definedName>
    <definedName name="D8NWN">[3]Equipment!$L$63</definedName>
    <definedName name="D8NWOER">[3]Equipment!$J$63</definedName>
    <definedName name="D8NWOOR">[3]Equipment!$K$63</definedName>
    <definedName name="D8NWOR">[3]Equipment!$E$63</definedName>
    <definedName name="D8NWORR">[3]Equipment!$I$63</definedName>
    <definedName name="D8NWRR">[3]Equipment!$D$63</definedName>
    <definedName name="D9NRN">[3]Equipment!$L$62</definedName>
    <definedName name="D9NROER">[3]Equipment!$J$62</definedName>
    <definedName name="D9NROOR">[3]Equipment!$K$62</definedName>
    <definedName name="D9NROR">[3]Equipment!$E$62</definedName>
    <definedName name="D9NRORR">[3]Equipment!$I$62</definedName>
    <definedName name="D9NRRR">[3]Equipment!$D$62</definedName>
    <definedName name="D9NWN">[3]Equipment!$L$61</definedName>
    <definedName name="D9NWOER">[3]Equipment!$J$61</definedName>
    <definedName name="D9NWOOR">[3]Equipment!$K$61</definedName>
    <definedName name="D9NWOR">[3]Equipment!$E$61</definedName>
    <definedName name="D9NWORR">[3]Equipment!$I$61</definedName>
    <definedName name="d9nwrr">[3]Equipment!$D$61</definedName>
    <definedName name="DAH">[3]Labour!$H$8</definedName>
    <definedName name="DAL">[3]Labour!$L$8</definedName>
    <definedName name="DC35N">[3]Equipment!$L$69</definedName>
    <definedName name="DC35OER">[3]Equipment!$J$69</definedName>
    <definedName name="DC35OOR">[3]Equipment!$K$69</definedName>
    <definedName name="DC35OR">[3]Equipment!$E$69</definedName>
    <definedName name="DC35ORR">[3]Equipment!$I$69</definedName>
    <definedName name="DC35RR">[3]Equipment!$D$69</definedName>
    <definedName name="DETAILS">#REF!</definedName>
    <definedName name="DHR">#REF!</definedName>
    <definedName name="DJ">[6]Cover!#REF!</definedName>
    <definedName name="DJ84N">[3]Equipment!$L$80</definedName>
    <definedName name="DJ84OER">[3]Equipment!$J$80</definedName>
    <definedName name="DJ84OOR">[3]Equipment!$K$80</definedName>
    <definedName name="DJ84OR">[3]Equipment!$E$80</definedName>
    <definedName name="DJ84ORR">[3]Equipment!$I$80</definedName>
    <definedName name="DJ84RR">[3]Equipment!$D$80</definedName>
    <definedName name="DP">[6]Cover!#REF!</definedName>
    <definedName name="DT">[5]Cover!$B$7</definedName>
    <definedName name="DT77N">[3]Equipment!$L$78</definedName>
    <definedName name="DT77OER">[3]Equipment!$J$78</definedName>
    <definedName name="DT77OOR">[3]Equipment!$K$78</definedName>
    <definedName name="DT77OR">[3]Equipment!$E$78</definedName>
    <definedName name="DT77ORR">[3]Equipment!$I$78</definedName>
    <definedName name="DT77RR">[3]Equipment!$D$78</definedName>
    <definedName name="DUP">#REF!</definedName>
    <definedName name="E">[5]Cover!$H$2</definedName>
    <definedName name="EC30N">[3]Equipment!$L$119</definedName>
    <definedName name="EC30OR">[3]Equipment!$E$119</definedName>
    <definedName name="EC30RR">[3]Equipment!$D$119</definedName>
    <definedName name="EC42N">[3]Equipment!$L$120</definedName>
    <definedName name="EC42OOR">[3]Equipment!$K$120</definedName>
    <definedName name="EC42OR">[3]Equipment!$E$120</definedName>
    <definedName name="EC42ORR">[3]Equipment!$I$120</definedName>
    <definedName name="EC480RR">[3]Equipment!$I$121</definedName>
    <definedName name="EC48N">[3]Equipment!$L$121</definedName>
    <definedName name="EC48OOR">[3]Equipment!$K$121</definedName>
    <definedName name="EC48OR">[3]Equipment!$E$121</definedName>
    <definedName name="EC48RR">[3]Equipment!$D$121</definedName>
    <definedName name="EN">[5]Cover!$B$2</definedName>
    <definedName name="EOT">[3]MI!$N$69</definedName>
    <definedName name="EQPT_1">#REF!</definedName>
    <definedName name="EQPT_2">#REF!</definedName>
    <definedName name="EQPT_3">#REF!</definedName>
    <definedName name="EQPT_4">#REF!</definedName>
    <definedName name="Equipment_Refurbished_DA">'[7]Rates Allowances'!$C$16</definedName>
    <definedName name="ET">[3]MI!$Q$69</definedName>
    <definedName name="EV__LASTREFTIME__" hidden="1">41191.5763194444</definedName>
    <definedName name="EWH">#REF!</definedName>
    <definedName name="Exchange_Rate">'[8]2.Summary'!$G$48</definedName>
    <definedName name="ExportName" hidden="1">"C:\Users\ASHLEY~1.BUC\AppData\Local\Temp\{5F7C1E42-9770-4305-9A47-B3939E267E9B}\{AE591A17-3346-4436-AF2F-BDB5F56BFA7D}.xlsb"</definedName>
    <definedName name="FOT">[3]Labour!$C$4</definedName>
    <definedName name="FT4N">[3]Equipment!$L$131</definedName>
    <definedName name="FT4OER">[3]Equipment!$J$131</definedName>
    <definedName name="FT4OOR">[3]Equipment!$K$131</definedName>
    <definedName name="FT4OR">[3]Equipment!$E$131</definedName>
    <definedName name="FT4ORR">[3]Equipment!$I$131</definedName>
    <definedName name="FT4RR">[3]Equipment!$D$131</definedName>
    <definedName name="G14GN">[3]Equipment!$L$97</definedName>
    <definedName name="G14GOER">[3]Equipment!$J$97</definedName>
    <definedName name="G14GOOR">[3]Equipment!$K$97</definedName>
    <definedName name="G14GOR">[3]Equipment!$E$97</definedName>
    <definedName name="G14GORR">[3]Equipment!$I$97</definedName>
    <definedName name="G14GRR">[3]Equipment!$D$97</definedName>
    <definedName name="G16GN">[3]Equipment!$L$98</definedName>
    <definedName name="G16GOER">[3]Equipment!$J$98</definedName>
    <definedName name="G16GOOR">[3]Equipment!$K$98</definedName>
    <definedName name="G16GOR">[3]Equipment!$E$98</definedName>
    <definedName name="G16GORR">[3]Equipment!$I$98</definedName>
    <definedName name="G16GRR">[3]Equipment!$D$98</definedName>
    <definedName name="Graded_Helper">[3]Labour!$C$118</definedName>
    <definedName name="HDN">[3]Equipment!$L$155</definedName>
    <definedName name="HDOER">[3]Equipment!$J$155</definedName>
    <definedName name="HDOOR">[3]Equipment!$K$155</definedName>
    <definedName name="HDOR">[3]Equipment!$E$155</definedName>
    <definedName name="HDORR">[3]Equipment!$I$155</definedName>
    <definedName name="HDRR">[3]Equipment!$D$155</definedName>
    <definedName name="HEADER">#REF!</definedName>
    <definedName name="HP">[3]Labour!$C$7</definedName>
    <definedName name="HTML_CodePage" hidden="1">1252</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Title" hidden="1">"leverage"</definedName>
    <definedName name="HTML1_10" hidden="1">"charles_l_blake@ccm.rr.intel.com"</definedName>
    <definedName name="HTML1_11" hidden="1">1</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IC30N">[3]Equipment!$L$115</definedName>
    <definedName name="IC30OER">[3]Equipment!$J$115</definedName>
    <definedName name="IC30OOR">[3]Equipment!$K$115</definedName>
    <definedName name="IC30ORR">[3]Equipment!$I$115</definedName>
    <definedName name="IC42N">[3]Equipment!$L$116</definedName>
    <definedName name="IC42OER">[3]Equipment!$J$116</definedName>
    <definedName name="IC42OOR">[3]Equipment!$K$116</definedName>
    <definedName name="IC42OR">[3]Equipment!$E$116</definedName>
    <definedName name="IC42ORR">[3]Equipment!$I$116</definedName>
    <definedName name="IC42RR">[3]Equipment!$D$116</definedName>
    <definedName name="IC48N">[3]Equipment!$L$117</definedName>
    <definedName name="IC48OER">[3]Equipment!$J$117</definedName>
    <definedName name="IC48OOR">[3]Equipment!$K$117</definedName>
    <definedName name="IC48RR">[3]Equipment!$D$117</definedName>
    <definedName name="IHCN">[3]Equipment!$L$204</definedName>
    <definedName name="IHCOER">[3]Equipment!$J$204</definedName>
    <definedName name="IHCOOR">[3]Equipment!$K$204</definedName>
    <definedName name="IHCOR">[3]Equipment!$E$204</definedName>
    <definedName name="IHCORR">[3]Equipment!$I$204</definedName>
    <definedName name="IHCRR">[3]Equipment!$D$204</definedName>
    <definedName name="IMPPATH">'[4]Front Sheet'!$Y$1</definedName>
    <definedName name="Induction_Heat_Coil">[3]Equipment!$H$204</definedName>
    <definedName name="J_DET">#REF!</definedName>
    <definedName name="L_DET">#REF!</definedName>
    <definedName name="L100AH">[3]Labour!$D$92</definedName>
    <definedName name="L100B">[3]Labour!$L$92</definedName>
    <definedName name="L100BR">[3]Labour!$C$92</definedName>
    <definedName name="L100S">[3]Labour!$J$92</definedName>
    <definedName name="L100T">[3]Labour!$K$92</definedName>
    <definedName name="L110AH">[3]Labour!$D$93</definedName>
    <definedName name="L110B">[3]Labour!$L$93</definedName>
    <definedName name="L110BR">[3]Labour!$C$93</definedName>
    <definedName name="L110S">[3]Labour!$J$93</definedName>
    <definedName name="L110T">[3]Labour!$K$93</definedName>
    <definedName name="L120AH">[3]Labour!$D$94</definedName>
    <definedName name="L120B">[3]Labour!$L$94</definedName>
    <definedName name="L120BR">[3]Labour!$C$94</definedName>
    <definedName name="L120S">[3]Labour!$J$94</definedName>
    <definedName name="L120T">[3]Labour!$K$94</definedName>
    <definedName name="L130AH">[3]Labour!$D$95</definedName>
    <definedName name="L130B">[3]Labour!$L$95</definedName>
    <definedName name="L130BR">[3]Labour!$C$95</definedName>
    <definedName name="L130S">[3]Labour!$J$95</definedName>
    <definedName name="L130T">[3]Labour!$K$95</definedName>
    <definedName name="L140AH">[3]Labour!$D$96</definedName>
    <definedName name="L140B">[3]Labour!$L$96</definedName>
    <definedName name="L140BR">[3]Labour!$C$96</definedName>
    <definedName name="L140S">[3]Labour!$J$96</definedName>
    <definedName name="L140T">[3]Labour!$K$96</definedName>
    <definedName name="L140TF">[3]Labour!$I$96</definedName>
    <definedName name="L150AH">[3]Labour!$D$97</definedName>
    <definedName name="L150B">[3]Labour!$L$97</definedName>
    <definedName name="L150BR">[3]Labour!$C$97</definedName>
    <definedName name="L150S">[3]Labour!$J$97</definedName>
    <definedName name="L150T">[3]Labour!$K$97</definedName>
    <definedName name="L160AH">[3]Labour!$D$98</definedName>
    <definedName name="L160B">[3]Labour!$L$98</definedName>
    <definedName name="L160BR">[3]Labour!$C$98</definedName>
    <definedName name="L160S">[3]Labour!$J$98</definedName>
    <definedName name="L160T">[3]Labour!$K$98</definedName>
    <definedName name="L170AH">[3]Labour!$D$99</definedName>
    <definedName name="L170B">[3]Labour!$L$99</definedName>
    <definedName name="L170BR">[3]Labour!$C$99</definedName>
    <definedName name="L170S">[3]Labour!$J$99</definedName>
    <definedName name="L170T">[3]Labour!$K$99</definedName>
    <definedName name="L180AH">[3]Labour!$D$100</definedName>
    <definedName name="L180B">[3]Labour!$L$100</definedName>
    <definedName name="L180BR">[3]Labour!$C$100</definedName>
    <definedName name="L180S">[3]Labour!$J$100</definedName>
    <definedName name="L180T">[3]Labour!$K$100</definedName>
    <definedName name="L190AH">[3]Labour!$D$101</definedName>
    <definedName name="L190B">[3]Labour!$L$101</definedName>
    <definedName name="L190S">[3]Labour!$J$101</definedName>
    <definedName name="L190T">[3]Labour!$K$101</definedName>
    <definedName name="L446N">[3]Equipment!$L$93</definedName>
    <definedName name="L446OER">[3]Equipment!$J$93</definedName>
    <definedName name="L446OOR">[3]Equipment!$K$93</definedName>
    <definedName name="L446OR">[3]Equipment!$E$93</definedName>
    <definedName name="L446ORR">[3]Equipment!$I$93</definedName>
    <definedName name="L446RR">[3]Equipment!$D$93</definedName>
    <definedName name="L928N">[3]Equipment!$L$95</definedName>
    <definedName name="L928OER">[3]Equipment!$J$95</definedName>
    <definedName name="L928OOR">[3]Equipment!$K$95</definedName>
    <definedName name="L928OR">[3]Equipment!$E$95</definedName>
    <definedName name="L928ORR">[3]Equipment!$I$95</definedName>
    <definedName name="L928RR">[3]Equipment!$D$95</definedName>
    <definedName name="L966N">[3]Equipment!$L$94</definedName>
    <definedName name="L966OER">[3]Equipment!$J$94</definedName>
    <definedName name="L966OOR">[3]Equipment!$K$94</definedName>
    <definedName name="L966OR">[3]Equipment!$E$94</definedName>
    <definedName name="L966ORR">[3]Equipment!$I$94</definedName>
    <definedName name="L966RR">[3]Equipment!$D$94</definedName>
    <definedName name="LAB_RATE">#REF!</definedName>
    <definedName name="Labor_All_in">'[9]Rates Allowances'!$C$26</definedName>
    <definedName name="labour">#REF!</definedName>
    <definedName name="Labour1">#REF!</definedName>
    <definedName name="Labour2">#REF!</definedName>
    <definedName name="LHW">[3]Labour!$E$91</definedName>
    <definedName name="LITEN">[3]Equipment!$L$190</definedName>
    <definedName name="LITEOER">[3]Equipment!$J$190</definedName>
    <definedName name="LITEOOR">[3]Equipment!$K$190</definedName>
    <definedName name="LITEOR">[3]Equipment!$E$190</definedName>
    <definedName name="LITEORR">[3]Equipment!$I$190</definedName>
    <definedName name="LITERR">[3]Equipment!$D$190</definedName>
    <definedName name="LM">[5]Cover!$I$7</definedName>
    <definedName name="LOF">[3]Labour!$H$91</definedName>
    <definedName name="Loop_Move_Day_Hrs_Day">[3]Labour!$H$5</definedName>
    <definedName name="LOWER">'[10]triangular&amp;uniform'!$E$4</definedName>
    <definedName name="LPF">[3]Labour!$F$91</definedName>
    <definedName name="LQ">[3]SW!$E$35</definedName>
    <definedName name="LT">[3]MI!$Q$35</definedName>
    <definedName name="LTF">[3]Labour!$G$91</definedName>
    <definedName name="M_DET">#REF!</definedName>
    <definedName name="MAH">[3]Labour!$D$37</definedName>
    <definedName name="Margins">[11]Summary!$G$4:$G$8</definedName>
    <definedName name="MB30N">[3]Equipment!$L$107</definedName>
    <definedName name="MB30OER">[3]Equipment!$J$107</definedName>
    <definedName name="MB30OOR">[3]Equipment!$K$107</definedName>
    <definedName name="MB30ORR">[3]Equipment!$I$107</definedName>
    <definedName name="MB48N">[3]Equipment!$L$106</definedName>
    <definedName name="MB48OER">[3]Equipment!$J$106</definedName>
    <definedName name="MB48OOR">[3]Equipment!$K$106</definedName>
    <definedName name="MB48ORR">[3]Equipment!$I$106</definedName>
    <definedName name="MD">[3]MI!$L$35</definedName>
    <definedName name="ME_COMPLEX">'[7]Rates Allowances'!$AX$16</definedName>
    <definedName name="ME_ENVIRON">'[7]Rates Allowances'!$BC$16</definedName>
    <definedName name="ME_MANPOWER">'[7]Rates Allowances'!$BM$16</definedName>
    <definedName name="ME_OT">'[7]Rates Allowances'!$BR$16</definedName>
    <definedName name="ME_T_A">'[7]Rates Allowances'!$AN$16</definedName>
    <definedName name="ME_TRADES">'[7]Rates Allowances'!$BW$16</definedName>
    <definedName name="ME_U_O">'[7]Rates Allowances'!$AD$16</definedName>
    <definedName name="ME_UNIT">'[7]Rates Allowances'!$AI$16</definedName>
    <definedName name="ME_WEATHER">'[7]Rates Allowances'!$BH$16</definedName>
    <definedName name="meDate">'[4]Front Sheet'!$D$10</definedName>
    <definedName name="monthList">[4]VLOOKUP!$H$1:$H$12</definedName>
    <definedName name="MT">[5]Cover!$J$3</definedName>
    <definedName name="MWSN">[3]Equipment!$L$75</definedName>
    <definedName name="MWSOR">[3]Equipment!$E$75</definedName>
    <definedName name="MWSRR">[3]Equipment!$D$75</definedName>
    <definedName name="N_DET">#REF!</definedName>
    <definedName name="O100AH">[3]Labour!$D$38</definedName>
    <definedName name="O100B">[3]Labour!$L$38</definedName>
    <definedName name="O100BR">[3]Labour!$C$38</definedName>
    <definedName name="O100S">[3]Labour!$J$38</definedName>
    <definedName name="O100T">[3]Labour!$K$38</definedName>
    <definedName name="O105AH">[3]Labour!$D$39</definedName>
    <definedName name="O105B">[3]Labour!$L$39</definedName>
    <definedName name="O105BR">[3]Labour!$C$39</definedName>
    <definedName name="O105S">[3]Labour!$J$39</definedName>
    <definedName name="O105T">[3]Labour!$K$39</definedName>
    <definedName name="O110AH">[3]Labour!$D$40</definedName>
    <definedName name="O110B">[3]Labour!$L$40</definedName>
    <definedName name="O110BR">[3]Labour!$C$40</definedName>
    <definedName name="O110S">[3]Labour!$J$40</definedName>
    <definedName name="O110T">[3]Labour!$K$40</definedName>
    <definedName name="O120AH">[3]Labour!$D$41</definedName>
    <definedName name="O120B">[3]Labour!$L$41</definedName>
    <definedName name="O120BR">[3]Labour!$C$41</definedName>
    <definedName name="O120S">[3]Labour!$J$41</definedName>
    <definedName name="O120T">[3]Labour!$K$41</definedName>
    <definedName name="O123BR">[3]Labour!$C$57</definedName>
    <definedName name="O125AH">[3]Labour!$D$42</definedName>
    <definedName name="O125B">[3]Labour!$L$42</definedName>
    <definedName name="O125S">[3]Labour!$J$42</definedName>
    <definedName name="O125T">[3]Labour!$K$42</definedName>
    <definedName name="O130AH">[3]Labour!$D$43</definedName>
    <definedName name="O130B">[3]Labour!$L$43</definedName>
    <definedName name="O130BR">[3]Labour!$C$43</definedName>
    <definedName name="O130S">[3]Labour!$J$43</definedName>
    <definedName name="O130T">[3]Labour!$K$43</definedName>
    <definedName name="O140AH">[3]Labour!$D$44</definedName>
    <definedName name="O140B">[3]Labour!$L$44</definedName>
    <definedName name="O140BR">[3]Labour!$C$44</definedName>
    <definedName name="O140S">[3]Labour!$J$44</definedName>
    <definedName name="O140T">[3]Labour!$K$44</definedName>
    <definedName name="O150AH">[3]Labour!$D$45</definedName>
    <definedName name="O150B">[3]Labour!$L$45</definedName>
    <definedName name="O150BR">[3]Labour!$C$45</definedName>
    <definedName name="O150S">[3]Labour!$J$45</definedName>
    <definedName name="O150T">[3]Labour!$K$45</definedName>
    <definedName name="O160AH">[3]Labour!$D$46</definedName>
    <definedName name="O160B">[3]Labour!$L$46</definedName>
    <definedName name="O160BR">[3]Labour!$C$46</definedName>
    <definedName name="O160S">[3]Labour!$J$46</definedName>
    <definedName name="O160T">[3]Labour!$K$46</definedName>
    <definedName name="O210AH">[3]Labour!$D$47</definedName>
    <definedName name="O210B">[3]Labour!$L$47</definedName>
    <definedName name="O210BR">[3]Labour!$C$47</definedName>
    <definedName name="O210S">[3]Labour!$J$47</definedName>
    <definedName name="O210T">[3]Labour!$K$47</definedName>
    <definedName name="O215AH">[3]Labour!#REF!</definedName>
    <definedName name="O215B">[3]Labour!$L$48</definedName>
    <definedName name="O215BR">[3]Labour!#REF!</definedName>
    <definedName name="O215S">[3]Labour!#REF!</definedName>
    <definedName name="O215T">[3]Labour!$K$48</definedName>
    <definedName name="O216AH">[3]Labour!#REF!</definedName>
    <definedName name="O216B">[3]Labour!$L$49</definedName>
    <definedName name="O216BR">[3]Labour!$C$49</definedName>
    <definedName name="O216S">[3]Labour!$J$49</definedName>
    <definedName name="O216T">[3]Labour!$K$49</definedName>
    <definedName name="O216TF">[3]Labour!$I$49</definedName>
    <definedName name="O220AH">[3]Labour!$D$50</definedName>
    <definedName name="O220B">[3]Labour!$L$50</definedName>
    <definedName name="O220BR">[3]Labour!$C$50</definedName>
    <definedName name="O220S">[3]Labour!$J$50</definedName>
    <definedName name="O220T">[3]Labour!$K$50</definedName>
    <definedName name="O230AH">[3]Labour!$D$52</definedName>
    <definedName name="O230B">[3]Labour!$L$52</definedName>
    <definedName name="O230BR">[3]Labour!$C$52</definedName>
    <definedName name="O230S">[3]Labour!$J$52</definedName>
    <definedName name="O230T">[3]Labour!$K$52</definedName>
    <definedName name="O235AH">[3]Labour!$D$54</definedName>
    <definedName name="O235B">[3]Labour!$L$54</definedName>
    <definedName name="O235BR">[3]Labour!$C$54</definedName>
    <definedName name="O235S">[3]Labour!$J$54</definedName>
    <definedName name="O235T">[3]Labour!$K$54</definedName>
    <definedName name="O240AH">[3]Labour!$D$53</definedName>
    <definedName name="O240B">[3]Labour!$L$53</definedName>
    <definedName name="O240BR">[3]Labour!$C$53</definedName>
    <definedName name="O240S">[3]Labour!$J$53</definedName>
    <definedName name="O240T">[3]Labour!$K$53</definedName>
    <definedName name="OHP">[5]Cover!$F$6</definedName>
    <definedName name="OHW">[3]Labour!$E$37</definedName>
    <definedName name="OOF">[3]Labour!$H$37</definedName>
    <definedName name="OPF">[3]Labour!$F$37</definedName>
    <definedName name="OTF">[3]Labour!$G$37</definedName>
    <definedName name="p" hidden="1">#REF!</definedName>
    <definedName name="P_DET">#REF!</definedName>
    <definedName name="PAGE_1">#REF!</definedName>
    <definedName name="PAGE_2">#REF!</definedName>
    <definedName name="PAGE_3">#REF!</definedName>
    <definedName name="page1">#REF!</definedName>
    <definedName name="page2">#REF!</definedName>
    <definedName name="page3">#REF!</definedName>
    <definedName name="PD02N">[3]Equipment!$L$139</definedName>
    <definedName name="PD02OER">[3]Equipment!$J$139</definedName>
    <definedName name="PD02OOR">[3]Equipment!$K$139</definedName>
    <definedName name="PD02OR">[3]Equipment!$E$139</definedName>
    <definedName name="PD02ORR">[3]Equipment!$I$139</definedName>
    <definedName name="PD02RR">[3]Equipment!$D$139</definedName>
    <definedName name="PD03N">[3]Equipment!$L$138</definedName>
    <definedName name="PD03OER">[3]Equipment!$J$138</definedName>
    <definedName name="PD03OOR">[3]Equipment!$K$138</definedName>
    <definedName name="PD03OR">[3]Equipment!$E$138</definedName>
    <definedName name="PD03ORR">[3]Equipment!$I$138</definedName>
    <definedName name="PD03RR">[3]Equipment!$D$138</definedName>
    <definedName name="PD06N">[3]Equipment!$L$137</definedName>
    <definedName name="PD06OER">[3]Equipment!$J$137</definedName>
    <definedName name="PD06OOR">[3]Equipment!$K$137</definedName>
    <definedName name="PD06OR">[3]Equipment!$E$137</definedName>
    <definedName name="PD06ORR">[3]Equipment!$I$137</definedName>
    <definedName name="PD06RR">[3]Equipment!$D$137</definedName>
    <definedName name="PE10N">[3]Equipment!$L$136</definedName>
    <definedName name="PE10OER">[3]Equipment!$J$136</definedName>
    <definedName name="PE10OOR">[3]Equipment!$K$136</definedName>
    <definedName name="PE10OR">[3]Equipment!$E$136</definedName>
    <definedName name="PE10ORR">[3]Equipment!$I$136</definedName>
    <definedName name="PE10RR">[3]Equipment!$D$136</definedName>
    <definedName name="PFH8N">[3]Equipment!$L$134</definedName>
    <definedName name="PFH8OER">[3]Equipment!$J$134</definedName>
    <definedName name="PFH8OOR">[3]Equipment!$K$134</definedName>
    <definedName name="PFH8OR">[3]Equipment!$E$134</definedName>
    <definedName name="PFH8ORR">[3]Equipment!$I$134</definedName>
    <definedName name="PFH8RR">[3]Equipment!$D$134</definedName>
    <definedName name="PFL6N">[3]Equipment!$L$133</definedName>
    <definedName name="PFL6OER">[3]Equipment!$J$133</definedName>
    <definedName name="PFL6OOR">[3]Equipment!$K$133</definedName>
    <definedName name="PFL6OR">[3]Equipment!$E$133</definedName>
    <definedName name="PFL6ORR">[3]Equipment!$I$133</definedName>
    <definedName name="PN">[5]Cover!$B$1</definedName>
    <definedName name="PRL6RR">[3]Equipment!$D$133</definedName>
    <definedName name="PS02N">[3]Equipment!$L$135</definedName>
    <definedName name="PS02OER">[3]Equipment!$J$135</definedName>
    <definedName name="PS02OOR">[3]Equipment!$K$135</definedName>
    <definedName name="PS02OR">[3]Equipment!$E$135</definedName>
    <definedName name="PS02ORR">[3]Equipment!$I$135</definedName>
    <definedName name="PS02RR">[3]Equipment!$D$135</definedName>
    <definedName name="PSW_CALCULATE_0" hidden="1">#REF!</definedName>
    <definedName name="PSW_SAVE_0" hidden="1">#REF!</definedName>
    <definedName name="PSWGrid_0_0" hidden="1">#REF!</definedName>
    <definedName name="PSWGrid_0_1" hidden="1">#REF!</definedName>
    <definedName name="PSWGrid_0_2" hidden="1">#REF!</definedName>
    <definedName name="PSWGrid_0_3" hidden="1">#REF!</definedName>
    <definedName name="PSWInput_0_0" hidden="1">#REF!</definedName>
    <definedName name="PSWInput_0_1" hidden="1">#REF!</definedName>
    <definedName name="PSWInput_0_2" hidden="1">#REF!</definedName>
    <definedName name="PSWInput_0_3" hidden="1">#REF!</definedName>
    <definedName name="PSWList_0_0" hidden="1">#REF!</definedName>
    <definedName name="PSWList_0_1" hidden="1">#REF!</definedName>
    <definedName name="PSWList_0_2" hidden="1">#REF!</definedName>
    <definedName name="PSWList_0_3" hidden="1">#REF!</definedName>
    <definedName name="PSWMergedSavingCell_0_0" hidden="1">#REF!</definedName>
    <definedName name="PSWMergedSavingCell_0_1" hidden="1">#REF!</definedName>
    <definedName name="PSWMergedSavingCell_0_10" hidden="1">#REF!</definedName>
    <definedName name="PSWMergedSavingCell_0_100" hidden="1">#REF!</definedName>
    <definedName name="PSWMergedSavingCell_0_101" hidden="1">#REF!</definedName>
    <definedName name="PSWMergedSavingCell_0_102" hidden="1">#REF!</definedName>
    <definedName name="PSWMergedSavingCell_0_103" hidden="1">#REF!</definedName>
    <definedName name="PSWMergedSavingCell_0_104" hidden="1">#REF!</definedName>
    <definedName name="PSWMergedSavingCell_0_105" hidden="1">#REF!</definedName>
    <definedName name="PSWMergedSavingCell_0_106" hidden="1">#REF!</definedName>
    <definedName name="PSWMergedSavingCell_0_107" hidden="1">#REF!</definedName>
    <definedName name="PSWMergedSavingCell_0_108" hidden="1">#REF!</definedName>
    <definedName name="PSWMergedSavingCell_0_109" hidden="1">#REF!</definedName>
    <definedName name="PSWMergedSavingCell_0_11" hidden="1">#REF!</definedName>
    <definedName name="PSWMergedSavingCell_0_110" hidden="1">#REF!</definedName>
    <definedName name="PSWMergedSavingCell_0_111" hidden="1">#REF!</definedName>
    <definedName name="PSWMergedSavingCell_0_112" hidden="1">#REF!</definedName>
    <definedName name="PSWMergedSavingCell_0_113" hidden="1">#REF!</definedName>
    <definedName name="PSWMergedSavingCell_0_114" hidden="1">#REF!</definedName>
    <definedName name="PSWMergedSavingCell_0_115" hidden="1">#REF!</definedName>
    <definedName name="PSWMergedSavingCell_0_116" hidden="1">#REF!</definedName>
    <definedName name="PSWMergedSavingCell_0_117" hidden="1">#REF!</definedName>
    <definedName name="PSWMergedSavingCell_0_118" hidden="1">#REF!</definedName>
    <definedName name="PSWMergedSavingCell_0_119" hidden="1">#REF!</definedName>
    <definedName name="PSWMergedSavingCell_0_12" hidden="1">#REF!</definedName>
    <definedName name="PSWMergedSavingCell_0_120" hidden="1">#REF!</definedName>
    <definedName name="PSWMergedSavingCell_0_121" hidden="1">#REF!</definedName>
    <definedName name="PSWMergedSavingCell_0_122" hidden="1">#REF!</definedName>
    <definedName name="PSWMergedSavingCell_0_123" hidden="1">#REF!</definedName>
    <definedName name="PSWMergedSavingCell_0_124" hidden="1">#REF!</definedName>
    <definedName name="PSWMergedSavingCell_0_125" hidden="1">#REF!</definedName>
    <definedName name="PSWMergedSavingCell_0_126" hidden="1">#REF!</definedName>
    <definedName name="PSWMergedSavingCell_0_127" hidden="1">#REF!</definedName>
    <definedName name="PSWMergedSavingCell_0_128" hidden="1">#REF!</definedName>
    <definedName name="PSWMergedSavingCell_0_129" hidden="1">#REF!</definedName>
    <definedName name="PSWMergedSavingCell_0_13" hidden="1">#REF!</definedName>
    <definedName name="PSWMergedSavingCell_0_130" hidden="1">#REF!</definedName>
    <definedName name="PSWMergedSavingCell_0_131" hidden="1">#REF!</definedName>
    <definedName name="PSWMergedSavingCell_0_132" hidden="1">#REF!</definedName>
    <definedName name="PSWMergedSavingCell_0_133" hidden="1">#REF!</definedName>
    <definedName name="PSWMergedSavingCell_0_134" hidden="1">#REF!</definedName>
    <definedName name="PSWMergedSavingCell_0_135" hidden="1">#REF!</definedName>
    <definedName name="PSWMergedSavingCell_0_136" hidden="1">#REF!</definedName>
    <definedName name="PSWMergedSavingCell_0_137" hidden="1">#REF!</definedName>
    <definedName name="PSWMergedSavingCell_0_138" hidden="1">#REF!</definedName>
    <definedName name="PSWMergedSavingCell_0_139" hidden="1">#REF!</definedName>
    <definedName name="PSWMergedSavingCell_0_14" hidden="1">#REF!</definedName>
    <definedName name="PSWMergedSavingCell_0_140" hidden="1">#REF!</definedName>
    <definedName name="PSWMergedSavingCell_0_141" hidden="1">#REF!</definedName>
    <definedName name="PSWMergedSavingCell_0_142" hidden="1">#REF!</definedName>
    <definedName name="PSWMergedSavingCell_0_143" hidden="1">#REF!</definedName>
    <definedName name="PSWMergedSavingCell_0_144" hidden="1">#REF!</definedName>
    <definedName name="PSWMergedSavingCell_0_145" hidden="1">#REF!</definedName>
    <definedName name="PSWMergedSavingCell_0_146" hidden="1">#REF!</definedName>
    <definedName name="PSWMergedSavingCell_0_147" hidden="1">#REF!</definedName>
    <definedName name="PSWMergedSavingCell_0_148" hidden="1">#REF!</definedName>
    <definedName name="PSWMergedSavingCell_0_149" hidden="1">#REF!</definedName>
    <definedName name="PSWMergedSavingCell_0_15" hidden="1">#REF!</definedName>
    <definedName name="PSWMergedSavingCell_0_150" hidden="1">#REF!</definedName>
    <definedName name="PSWMergedSavingCell_0_151" hidden="1">#REF!</definedName>
    <definedName name="PSWMergedSavingCell_0_152" hidden="1">#REF!</definedName>
    <definedName name="PSWMergedSavingCell_0_153" hidden="1">#REF!</definedName>
    <definedName name="PSWMergedSavingCell_0_154" hidden="1">#REF!</definedName>
    <definedName name="PSWMergedSavingCell_0_155" hidden="1">#REF!</definedName>
    <definedName name="PSWMergedSavingCell_0_156" hidden="1">#REF!</definedName>
    <definedName name="PSWMergedSavingCell_0_157" hidden="1">#REF!</definedName>
    <definedName name="PSWMergedSavingCell_0_158" hidden="1">#REF!</definedName>
    <definedName name="PSWMergedSavingCell_0_159" hidden="1">#REF!</definedName>
    <definedName name="PSWMergedSavingCell_0_16" hidden="1">#REF!</definedName>
    <definedName name="PSWMergedSavingCell_0_160" hidden="1">#REF!</definedName>
    <definedName name="PSWMergedSavingCell_0_161" hidden="1">#REF!</definedName>
    <definedName name="PSWMergedSavingCell_0_162" hidden="1">#REF!</definedName>
    <definedName name="PSWMergedSavingCell_0_163" hidden="1">#REF!</definedName>
    <definedName name="PSWMergedSavingCell_0_164" hidden="1">#REF!</definedName>
    <definedName name="PSWMergedSavingCell_0_165" hidden="1">#REF!</definedName>
    <definedName name="PSWMergedSavingCell_0_166" hidden="1">#REF!</definedName>
    <definedName name="PSWMergedSavingCell_0_167" hidden="1">#REF!</definedName>
    <definedName name="PSWMergedSavingCell_0_168" hidden="1">#REF!</definedName>
    <definedName name="PSWMergedSavingCell_0_169" hidden="1">#REF!</definedName>
    <definedName name="PSWMergedSavingCell_0_17" hidden="1">#REF!</definedName>
    <definedName name="PSWMergedSavingCell_0_170" hidden="1">#REF!</definedName>
    <definedName name="PSWMergedSavingCell_0_171" hidden="1">#REF!</definedName>
    <definedName name="PSWMergedSavingCell_0_172" hidden="1">#REF!</definedName>
    <definedName name="PSWMergedSavingCell_0_173" hidden="1">#REF!</definedName>
    <definedName name="PSWMergedSavingCell_0_174" hidden="1">#REF!</definedName>
    <definedName name="PSWMergedSavingCell_0_175" hidden="1">#REF!</definedName>
    <definedName name="PSWMergedSavingCell_0_176" hidden="1">#REF!</definedName>
    <definedName name="PSWMergedSavingCell_0_177" hidden="1">#REF!</definedName>
    <definedName name="PSWMergedSavingCell_0_178" hidden="1">#REF!</definedName>
    <definedName name="PSWMergedSavingCell_0_179" hidden="1">#REF!</definedName>
    <definedName name="PSWMergedSavingCell_0_18" hidden="1">#REF!</definedName>
    <definedName name="PSWMergedSavingCell_0_180" hidden="1">#REF!</definedName>
    <definedName name="PSWMergedSavingCell_0_181" hidden="1">#REF!</definedName>
    <definedName name="PSWMergedSavingCell_0_182" hidden="1">#REF!</definedName>
    <definedName name="PSWMergedSavingCell_0_183" hidden="1">#REF!</definedName>
    <definedName name="PSWMergedSavingCell_0_184" hidden="1">#REF!</definedName>
    <definedName name="PSWMergedSavingCell_0_185" hidden="1">#REF!</definedName>
    <definedName name="PSWMergedSavingCell_0_186" hidden="1">#REF!</definedName>
    <definedName name="PSWMergedSavingCell_0_187" hidden="1">#REF!</definedName>
    <definedName name="PSWMergedSavingCell_0_188" hidden="1">#REF!</definedName>
    <definedName name="PSWMergedSavingCell_0_189" hidden="1">#REF!</definedName>
    <definedName name="PSWMergedSavingCell_0_19" hidden="1">#REF!</definedName>
    <definedName name="PSWMergedSavingCell_0_190" hidden="1">#REF!</definedName>
    <definedName name="PSWMergedSavingCell_0_191" hidden="1">#REF!</definedName>
    <definedName name="PSWMergedSavingCell_0_192" hidden="1">#REF!</definedName>
    <definedName name="PSWMergedSavingCell_0_193" hidden="1">#REF!</definedName>
    <definedName name="PSWMergedSavingCell_0_194" hidden="1">#REF!</definedName>
    <definedName name="PSWMergedSavingCell_0_195" hidden="1">#REF!</definedName>
    <definedName name="PSWMergedSavingCell_0_196" hidden="1">#REF!</definedName>
    <definedName name="PSWMergedSavingCell_0_197" hidden="1">#REF!</definedName>
    <definedName name="PSWMergedSavingCell_0_198" hidden="1">#REF!</definedName>
    <definedName name="PSWMergedSavingCell_0_199" hidden="1">#REF!</definedName>
    <definedName name="PSWMergedSavingCell_0_2" hidden="1">#REF!</definedName>
    <definedName name="PSWMergedSavingCell_0_20" hidden="1">#REF!</definedName>
    <definedName name="PSWMergedSavingCell_0_200" hidden="1">#REF!</definedName>
    <definedName name="PSWMergedSavingCell_0_201" hidden="1">#REF!</definedName>
    <definedName name="PSWMergedSavingCell_0_202" hidden="1">#REF!</definedName>
    <definedName name="PSWMergedSavingCell_0_203" hidden="1">#REF!</definedName>
    <definedName name="PSWMergedSavingCell_0_204" hidden="1">#REF!</definedName>
    <definedName name="PSWMergedSavingCell_0_205" hidden="1">#REF!</definedName>
    <definedName name="PSWMergedSavingCell_0_206" hidden="1">#REF!</definedName>
    <definedName name="PSWMergedSavingCell_0_207" hidden="1">#REF!</definedName>
    <definedName name="PSWMergedSavingCell_0_208" hidden="1">#REF!</definedName>
    <definedName name="PSWMergedSavingCell_0_209" hidden="1">#REF!</definedName>
    <definedName name="PSWMergedSavingCell_0_21" hidden="1">#REF!</definedName>
    <definedName name="PSWMergedSavingCell_0_210" hidden="1">#REF!</definedName>
    <definedName name="PSWMergedSavingCell_0_211" hidden="1">#REF!</definedName>
    <definedName name="PSWMergedSavingCell_0_212" hidden="1">#REF!</definedName>
    <definedName name="PSWMergedSavingCell_0_213" hidden="1">#REF!</definedName>
    <definedName name="PSWMergedSavingCell_0_214" hidden="1">#REF!</definedName>
    <definedName name="PSWMergedSavingCell_0_215" hidden="1">#REF!</definedName>
    <definedName name="PSWMergedSavingCell_0_216" hidden="1">#REF!</definedName>
    <definedName name="PSWMergedSavingCell_0_217" hidden="1">#REF!</definedName>
    <definedName name="PSWMergedSavingCell_0_218" hidden="1">#REF!</definedName>
    <definedName name="PSWMergedSavingCell_0_219" hidden="1">#REF!</definedName>
    <definedName name="PSWMergedSavingCell_0_22" hidden="1">#REF!</definedName>
    <definedName name="PSWMergedSavingCell_0_220" hidden="1">#REF!</definedName>
    <definedName name="PSWMergedSavingCell_0_221" hidden="1">#REF!</definedName>
    <definedName name="PSWMergedSavingCell_0_222" hidden="1">#REF!</definedName>
    <definedName name="PSWMergedSavingCell_0_223" hidden="1">#REF!</definedName>
    <definedName name="PSWMergedSavingCell_0_224" hidden="1">#REF!</definedName>
    <definedName name="PSWMergedSavingCell_0_225" hidden="1">#REF!</definedName>
    <definedName name="PSWMergedSavingCell_0_226" hidden="1">#REF!</definedName>
    <definedName name="PSWMergedSavingCell_0_227" hidden="1">#REF!</definedName>
    <definedName name="PSWMergedSavingCell_0_228" hidden="1">#REF!</definedName>
    <definedName name="PSWMergedSavingCell_0_229" hidden="1">#REF!</definedName>
    <definedName name="PSWMergedSavingCell_0_23" hidden="1">#REF!</definedName>
    <definedName name="PSWMergedSavingCell_0_230" hidden="1">#REF!</definedName>
    <definedName name="PSWMergedSavingCell_0_231" hidden="1">#REF!</definedName>
    <definedName name="PSWMergedSavingCell_0_232" hidden="1">#REF!</definedName>
    <definedName name="PSWMergedSavingCell_0_233" hidden="1">#REF!</definedName>
    <definedName name="PSWMergedSavingCell_0_234" hidden="1">#REF!</definedName>
    <definedName name="PSWMergedSavingCell_0_235" hidden="1">#REF!</definedName>
    <definedName name="PSWMergedSavingCell_0_236" hidden="1">#REF!</definedName>
    <definedName name="PSWMergedSavingCell_0_237" hidden="1">#REF!</definedName>
    <definedName name="PSWMergedSavingCell_0_238" hidden="1">#REF!</definedName>
    <definedName name="PSWMergedSavingCell_0_239" hidden="1">#REF!</definedName>
    <definedName name="PSWMergedSavingCell_0_24" hidden="1">#REF!</definedName>
    <definedName name="PSWMergedSavingCell_0_240" hidden="1">#REF!</definedName>
    <definedName name="PSWMergedSavingCell_0_241" hidden="1">#REF!</definedName>
    <definedName name="PSWMergedSavingCell_0_242" hidden="1">#REF!</definedName>
    <definedName name="PSWMergedSavingCell_0_243" hidden="1">#REF!</definedName>
    <definedName name="PSWMergedSavingCell_0_244" hidden="1">#REF!</definedName>
    <definedName name="PSWMergedSavingCell_0_245" hidden="1">#REF!</definedName>
    <definedName name="PSWMergedSavingCell_0_246" hidden="1">#REF!</definedName>
    <definedName name="PSWMergedSavingCell_0_247" hidden="1">#REF!</definedName>
    <definedName name="PSWMergedSavingCell_0_248" hidden="1">#REF!</definedName>
    <definedName name="PSWMergedSavingCell_0_249" hidden="1">#REF!</definedName>
    <definedName name="PSWMergedSavingCell_0_25" hidden="1">#REF!</definedName>
    <definedName name="PSWMergedSavingCell_0_250" hidden="1">#REF!</definedName>
    <definedName name="PSWMergedSavingCell_0_251" hidden="1">#REF!</definedName>
    <definedName name="PSWMergedSavingCell_0_252" hidden="1">#REF!</definedName>
    <definedName name="PSWMergedSavingCell_0_253" hidden="1">#REF!</definedName>
    <definedName name="PSWMergedSavingCell_0_254" hidden="1">#REF!</definedName>
    <definedName name="PSWMergedSavingCell_0_255" hidden="1">#REF!</definedName>
    <definedName name="PSWMergedSavingCell_0_256" hidden="1">#REF!</definedName>
    <definedName name="PSWMergedSavingCell_0_257" hidden="1">#REF!</definedName>
    <definedName name="PSWMergedSavingCell_0_258" hidden="1">#REF!</definedName>
    <definedName name="PSWMergedSavingCell_0_259" hidden="1">#REF!</definedName>
    <definedName name="PSWMergedSavingCell_0_26" hidden="1">#REF!</definedName>
    <definedName name="PSWMergedSavingCell_0_260" hidden="1">#REF!</definedName>
    <definedName name="PSWMergedSavingCell_0_261" hidden="1">#REF!</definedName>
    <definedName name="PSWMergedSavingCell_0_262" hidden="1">#REF!</definedName>
    <definedName name="PSWMergedSavingCell_0_263" hidden="1">#REF!</definedName>
    <definedName name="PSWMergedSavingCell_0_264" hidden="1">#REF!</definedName>
    <definedName name="PSWMergedSavingCell_0_265" hidden="1">#REF!</definedName>
    <definedName name="PSWMergedSavingCell_0_266" hidden="1">#REF!</definedName>
    <definedName name="PSWMergedSavingCell_0_267" hidden="1">#REF!</definedName>
    <definedName name="PSWMergedSavingCell_0_268" hidden="1">#REF!</definedName>
    <definedName name="PSWMergedSavingCell_0_269" hidden="1">#REF!</definedName>
    <definedName name="PSWMergedSavingCell_0_27" hidden="1">#REF!</definedName>
    <definedName name="PSWMergedSavingCell_0_270" hidden="1">#REF!</definedName>
    <definedName name="PSWMergedSavingCell_0_271" hidden="1">#REF!</definedName>
    <definedName name="PSWMergedSavingCell_0_272" hidden="1">#REF!</definedName>
    <definedName name="PSWMergedSavingCell_0_273" hidden="1">#REF!</definedName>
    <definedName name="PSWMergedSavingCell_0_274" hidden="1">#REF!</definedName>
    <definedName name="PSWMergedSavingCell_0_275" hidden="1">#REF!</definedName>
    <definedName name="PSWMergedSavingCell_0_276" hidden="1">#REF!</definedName>
    <definedName name="PSWMergedSavingCell_0_277" hidden="1">#REF!</definedName>
    <definedName name="PSWMergedSavingCell_0_278" hidden="1">#REF!</definedName>
    <definedName name="PSWMergedSavingCell_0_279" hidden="1">#REF!</definedName>
    <definedName name="PSWMergedSavingCell_0_28" hidden="1">#REF!</definedName>
    <definedName name="PSWMergedSavingCell_0_280" hidden="1">#REF!</definedName>
    <definedName name="PSWMergedSavingCell_0_281" hidden="1">#REF!</definedName>
    <definedName name="PSWMergedSavingCell_0_282" hidden="1">#REF!</definedName>
    <definedName name="PSWMergedSavingCell_0_283" hidden="1">#REF!</definedName>
    <definedName name="PSWMergedSavingCell_0_284" hidden="1">#REF!</definedName>
    <definedName name="PSWMergedSavingCell_0_285" hidden="1">#REF!</definedName>
    <definedName name="PSWMergedSavingCell_0_286" hidden="1">#REF!</definedName>
    <definedName name="PSWMergedSavingCell_0_287" hidden="1">#REF!</definedName>
    <definedName name="PSWMergedSavingCell_0_288" hidden="1">#REF!</definedName>
    <definedName name="PSWMergedSavingCell_0_289" hidden="1">#REF!</definedName>
    <definedName name="PSWMergedSavingCell_0_29" hidden="1">#REF!</definedName>
    <definedName name="PSWMergedSavingCell_0_290" hidden="1">#REF!</definedName>
    <definedName name="PSWMergedSavingCell_0_291" hidden="1">#REF!</definedName>
    <definedName name="PSWMergedSavingCell_0_292" hidden="1">#REF!</definedName>
    <definedName name="PSWMergedSavingCell_0_293" hidden="1">#REF!</definedName>
    <definedName name="PSWMergedSavingCell_0_294" hidden="1">#REF!</definedName>
    <definedName name="PSWMergedSavingCell_0_295" hidden="1">#REF!</definedName>
    <definedName name="PSWMergedSavingCell_0_296" hidden="1">#REF!</definedName>
    <definedName name="PSWMergedSavingCell_0_297" hidden="1">#REF!</definedName>
    <definedName name="PSWMergedSavingCell_0_298" hidden="1">#REF!</definedName>
    <definedName name="PSWMergedSavingCell_0_299" hidden="1">#REF!</definedName>
    <definedName name="PSWMergedSavingCell_0_3" hidden="1">#REF!</definedName>
    <definedName name="PSWMergedSavingCell_0_30" hidden="1">#REF!</definedName>
    <definedName name="PSWMergedSavingCell_0_300" hidden="1">#REF!</definedName>
    <definedName name="PSWMergedSavingCell_0_301" hidden="1">#REF!</definedName>
    <definedName name="PSWMergedSavingCell_0_302" hidden="1">#REF!</definedName>
    <definedName name="PSWMergedSavingCell_0_303" hidden="1">#REF!</definedName>
    <definedName name="PSWMergedSavingCell_0_304" hidden="1">#REF!</definedName>
    <definedName name="PSWMergedSavingCell_0_305" hidden="1">#REF!</definedName>
    <definedName name="PSWMergedSavingCell_0_306" hidden="1">#REF!</definedName>
    <definedName name="PSWMergedSavingCell_0_307" hidden="1">#REF!</definedName>
    <definedName name="PSWMergedSavingCell_0_308" hidden="1">#REF!</definedName>
    <definedName name="PSWMergedSavingCell_0_309" hidden="1">#REF!</definedName>
    <definedName name="PSWMergedSavingCell_0_31" hidden="1">#REF!</definedName>
    <definedName name="PSWMergedSavingCell_0_310" hidden="1">#REF!</definedName>
    <definedName name="PSWMergedSavingCell_0_311" hidden="1">#REF!</definedName>
    <definedName name="PSWMergedSavingCell_0_312" hidden="1">#REF!</definedName>
    <definedName name="PSWMergedSavingCell_0_313" hidden="1">#REF!</definedName>
    <definedName name="PSWMergedSavingCell_0_314" hidden="1">#REF!</definedName>
    <definedName name="PSWMergedSavingCell_0_315" hidden="1">#REF!</definedName>
    <definedName name="PSWMergedSavingCell_0_316" hidden="1">#REF!</definedName>
    <definedName name="PSWMergedSavingCell_0_317" hidden="1">#REF!</definedName>
    <definedName name="PSWMergedSavingCell_0_318" hidden="1">#REF!</definedName>
    <definedName name="PSWMergedSavingCell_0_319" hidden="1">#REF!</definedName>
    <definedName name="PSWMergedSavingCell_0_32" hidden="1">#REF!</definedName>
    <definedName name="PSWMergedSavingCell_0_320" hidden="1">#REF!</definedName>
    <definedName name="PSWMergedSavingCell_0_321" hidden="1">#REF!</definedName>
    <definedName name="PSWMergedSavingCell_0_322" hidden="1">#REF!</definedName>
    <definedName name="PSWMergedSavingCell_0_323" hidden="1">#REF!</definedName>
    <definedName name="PSWMergedSavingCell_0_324" hidden="1">#REF!</definedName>
    <definedName name="PSWMergedSavingCell_0_325" hidden="1">#REF!</definedName>
    <definedName name="PSWMergedSavingCell_0_326" hidden="1">#REF!</definedName>
    <definedName name="PSWMergedSavingCell_0_327" hidden="1">#REF!</definedName>
    <definedName name="PSWMergedSavingCell_0_328" hidden="1">#REF!</definedName>
    <definedName name="PSWMergedSavingCell_0_329" hidden="1">#REF!</definedName>
    <definedName name="PSWMergedSavingCell_0_33" hidden="1">#REF!</definedName>
    <definedName name="PSWMergedSavingCell_0_330" hidden="1">#REF!</definedName>
    <definedName name="PSWMergedSavingCell_0_331" hidden="1">#REF!</definedName>
    <definedName name="PSWMergedSavingCell_0_332" hidden="1">#REF!</definedName>
    <definedName name="PSWMergedSavingCell_0_333" hidden="1">#REF!</definedName>
    <definedName name="PSWMergedSavingCell_0_334" hidden="1">#REF!</definedName>
    <definedName name="PSWMergedSavingCell_0_335" hidden="1">#REF!</definedName>
    <definedName name="PSWMergedSavingCell_0_336" hidden="1">#REF!</definedName>
    <definedName name="PSWMergedSavingCell_0_337" hidden="1">#REF!</definedName>
    <definedName name="PSWMergedSavingCell_0_338" hidden="1">#REF!</definedName>
    <definedName name="PSWMergedSavingCell_0_339" hidden="1">#REF!</definedName>
    <definedName name="PSWMergedSavingCell_0_34" hidden="1">#REF!</definedName>
    <definedName name="PSWMergedSavingCell_0_340" hidden="1">#REF!</definedName>
    <definedName name="PSWMergedSavingCell_0_341" hidden="1">#REF!</definedName>
    <definedName name="PSWMergedSavingCell_0_342" hidden="1">#REF!</definedName>
    <definedName name="PSWMergedSavingCell_0_343" hidden="1">#REF!</definedName>
    <definedName name="PSWMergedSavingCell_0_344" hidden="1">#REF!</definedName>
    <definedName name="PSWMergedSavingCell_0_345" hidden="1">#REF!</definedName>
    <definedName name="PSWMergedSavingCell_0_346" hidden="1">#REF!</definedName>
    <definedName name="PSWMergedSavingCell_0_347" hidden="1">#REF!</definedName>
    <definedName name="PSWMergedSavingCell_0_348" hidden="1">#REF!</definedName>
    <definedName name="PSWMergedSavingCell_0_349" hidden="1">#REF!</definedName>
    <definedName name="PSWMergedSavingCell_0_35" hidden="1">#REF!</definedName>
    <definedName name="PSWMergedSavingCell_0_350" hidden="1">#REF!</definedName>
    <definedName name="PSWMergedSavingCell_0_351" hidden="1">#REF!</definedName>
    <definedName name="PSWMergedSavingCell_0_352" hidden="1">#REF!</definedName>
    <definedName name="PSWMergedSavingCell_0_353" hidden="1">#REF!</definedName>
    <definedName name="PSWMergedSavingCell_0_354" hidden="1">#REF!</definedName>
    <definedName name="PSWMergedSavingCell_0_355" hidden="1">#REF!</definedName>
    <definedName name="PSWMergedSavingCell_0_356" hidden="1">#REF!</definedName>
    <definedName name="PSWMergedSavingCell_0_357" hidden="1">#REF!</definedName>
    <definedName name="PSWMergedSavingCell_0_358" hidden="1">#REF!</definedName>
    <definedName name="PSWMergedSavingCell_0_359" hidden="1">#REF!</definedName>
    <definedName name="PSWMergedSavingCell_0_36" hidden="1">#REF!</definedName>
    <definedName name="PSWMergedSavingCell_0_360" hidden="1">#REF!</definedName>
    <definedName name="PSWMergedSavingCell_0_361" hidden="1">#REF!</definedName>
    <definedName name="PSWMergedSavingCell_0_362" hidden="1">#REF!</definedName>
    <definedName name="PSWMergedSavingCell_0_363" hidden="1">#REF!</definedName>
    <definedName name="PSWMergedSavingCell_0_364" hidden="1">#REF!</definedName>
    <definedName name="PSWMergedSavingCell_0_365" hidden="1">#REF!</definedName>
    <definedName name="PSWMergedSavingCell_0_366" hidden="1">#REF!</definedName>
    <definedName name="PSWMergedSavingCell_0_367" hidden="1">#REF!</definedName>
    <definedName name="PSWMergedSavingCell_0_368" hidden="1">#REF!</definedName>
    <definedName name="PSWMergedSavingCell_0_369" hidden="1">#REF!</definedName>
    <definedName name="PSWMergedSavingCell_0_37" hidden="1">#REF!</definedName>
    <definedName name="PSWMergedSavingCell_0_370" hidden="1">#REF!</definedName>
    <definedName name="PSWMergedSavingCell_0_371" hidden="1">#REF!</definedName>
    <definedName name="PSWMergedSavingCell_0_372" hidden="1">#REF!</definedName>
    <definedName name="PSWMergedSavingCell_0_373" hidden="1">#REF!</definedName>
    <definedName name="PSWMergedSavingCell_0_374" hidden="1">#REF!</definedName>
    <definedName name="PSWMergedSavingCell_0_375" hidden="1">#REF!</definedName>
    <definedName name="PSWMergedSavingCell_0_376" hidden="1">#REF!</definedName>
    <definedName name="PSWMergedSavingCell_0_377" hidden="1">#REF!</definedName>
    <definedName name="PSWMergedSavingCell_0_378" hidden="1">#REF!</definedName>
    <definedName name="PSWMergedSavingCell_0_379" hidden="1">#REF!</definedName>
    <definedName name="PSWMergedSavingCell_0_38" hidden="1">#REF!</definedName>
    <definedName name="PSWMergedSavingCell_0_380" hidden="1">#REF!</definedName>
    <definedName name="PSWMergedSavingCell_0_381" hidden="1">#REF!</definedName>
    <definedName name="PSWMergedSavingCell_0_382" hidden="1">#REF!</definedName>
    <definedName name="PSWMergedSavingCell_0_383" hidden="1">#REF!</definedName>
    <definedName name="PSWMergedSavingCell_0_384" hidden="1">#REF!</definedName>
    <definedName name="PSWMergedSavingCell_0_385" hidden="1">#REF!</definedName>
    <definedName name="PSWMergedSavingCell_0_386" hidden="1">#REF!</definedName>
    <definedName name="PSWMergedSavingCell_0_387" hidden="1">#REF!</definedName>
    <definedName name="PSWMergedSavingCell_0_388" hidden="1">#REF!</definedName>
    <definedName name="PSWMergedSavingCell_0_389" hidden="1">#REF!</definedName>
    <definedName name="PSWMergedSavingCell_0_39" hidden="1">#REF!</definedName>
    <definedName name="PSWMergedSavingCell_0_390" hidden="1">#REF!</definedName>
    <definedName name="PSWMergedSavingCell_0_391" hidden="1">#REF!</definedName>
    <definedName name="PSWMergedSavingCell_0_392" hidden="1">#REF!</definedName>
    <definedName name="PSWMergedSavingCell_0_393" hidden="1">#REF!</definedName>
    <definedName name="PSWMergedSavingCell_0_394" hidden="1">#REF!</definedName>
    <definedName name="PSWMergedSavingCell_0_395" hidden="1">#REF!</definedName>
    <definedName name="PSWMergedSavingCell_0_396" hidden="1">#REF!</definedName>
    <definedName name="PSWMergedSavingCell_0_397" hidden="1">#REF!</definedName>
    <definedName name="PSWMergedSavingCell_0_398" hidden="1">#REF!</definedName>
    <definedName name="PSWMergedSavingCell_0_399" hidden="1">#REF!</definedName>
    <definedName name="PSWMergedSavingCell_0_4" hidden="1">#REF!</definedName>
    <definedName name="PSWMergedSavingCell_0_40" hidden="1">#REF!</definedName>
    <definedName name="PSWMergedSavingCell_0_400" hidden="1">#REF!</definedName>
    <definedName name="PSWMergedSavingCell_0_401" hidden="1">#REF!</definedName>
    <definedName name="PSWMergedSavingCell_0_402" hidden="1">#REF!</definedName>
    <definedName name="PSWMergedSavingCell_0_403" hidden="1">#REF!</definedName>
    <definedName name="PSWMergedSavingCell_0_404" hidden="1">#REF!</definedName>
    <definedName name="PSWMergedSavingCell_0_405" hidden="1">#REF!</definedName>
    <definedName name="PSWMergedSavingCell_0_406" hidden="1">#REF!</definedName>
    <definedName name="PSWMergedSavingCell_0_407" hidden="1">#REF!</definedName>
    <definedName name="PSWMergedSavingCell_0_408" hidden="1">#REF!</definedName>
    <definedName name="PSWMergedSavingCell_0_409" hidden="1">#REF!</definedName>
    <definedName name="PSWMergedSavingCell_0_41" hidden="1">#REF!</definedName>
    <definedName name="PSWMergedSavingCell_0_410" hidden="1">#REF!</definedName>
    <definedName name="PSWMergedSavingCell_0_411" hidden="1">#REF!</definedName>
    <definedName name="PSWMergedSavingCell_0_412" hidden="1">#REF!</definedName>
    <definedName name="PSWMergedSavingCell_0_413" hidden="1">#REF!</definedName>
    <definedName name="PSWMergedSavingCell_0_414" hidden="1">#REF!</definedName>
    <definedName name="PSWMergedSavingCell_0_415" hidden="1">#REF!</definedName>
    <definedName name="PSWMergedSavingCell_0_416" hidden="1">#REF!</definedName>
    <definedName name="PSWMergedSavingCell_0_417" hidden="1">#REF!</definedName>
    <definedName name="PSWMergedSavingCell_0_418" hidden="1">#REF!</definedName>
    <definedName name="PSWMergedSavingCell_0_419" hidden="1">#REF!</definedName>
    <definedName name="PSWMergedSavingCell_0_42" hidden="1">#REF!</definedName>
    <definedName name="PSWMergedSavingCell_0_420" hidden="1">#REF!</definedName>
    <definedName name="PSWMergedSavingCell_0_421" hidden="1">#REF!</definedName>
    <definedName name="PSWMergedSavingCell_0_422" hidden="1">#REF!</definedName>
    <definedName name="PSWMergedSavingCell_0_423" hidden="1">#REF!</definedName>
    <definedName name="PSWMergedSavingCell_0_424" hidden="1">#REF!</definedName>
    <definedName name="PSWMergedSavingCell_0_425" hidden="1">#REF!</definedName>
    <definedName name="PSWMergedSavingCell_0_426" hidden="1">#REF!</definedName>
    <definedName name="PSWMergedSavingCell_0_427" hidden="1">#REF!</definedName>
    <definedName name="PSWMergedSavingCell_0_428" hidden="1">#REF!</definedName>
    <definedName name="PSWMergedSavingCell_0_429" hidden="1">#REF!</definedName>
    <definedName name="PSWMergedSavingCell_0_43" hidden="1">#REF!</definedName>
    <definedName name="PSWMergedSavingCell_0_430" hidden="1">#REF!</definedName>
    <definedName name="PSWMergedSavingCell_0_431" hidden="1">#REF!</definedName>
    <definedName name="PSWMergedSavingCell_0_432" hidden="1">#REF!</definedName>
    <definedName name="PSWMergedSavingCell_0_433" hidden="1">#REF!</definedName>
    <definedName name="PSWMergedSavingCell_0_434" hidden="1">#REF!</definedName>
    <definedName name="PSWMergedSavingCell_0_435" hidden="1">#REF!</definedName>
    <definedName name="PSWMergedSavingCell_0_436" hidden="1">#REF!</definedName>
    <definedName name="PSWMergedSavingCell_0_437" hidden="1">#REF!</definedName>
    <definedName name="PSWMergedSavingCell_0_438" hidden="1">#REF!</definedName>
    <definedName name="PSWMergedSavingCell_0_439" hidden="1">#REF!</definedName>
    <definedName name="PSWMergedSavingCell_0_44" hidden="1">#REF!</definedName>
    <definedName name="PSWMergedSavingCell_0_440" hidden="1">#REF!</definedName>
    <definedName name="PSWMergedSavingCell_0_441" hidden="1">#REF!</definedName>
    <definedName name="PSWMergedSavingCell_0_442" hidden="1">#REF!</definedName>
    <definedName name="PSWMergedSavingCell_0_443" hidden="1">#REF!</definedName>
    <definedName name="PSWMergedSavingCell_0_444" hidden="1">#REF!</definedName>
    <definedName name="PSWMergedSavingCell_0_445" hidden="1">#REF!</definedName>
    <definedName name="PSWMergedSavingCell_0_446" hidden="1">#REF!</definedName>
    <definedName name="PSWMergedSavingCell_0_447" hidden="1">#REF!</definedName>
    <definedName name="PSWMergedSavingCell_0_448" hidden="1">#REF!</definedName>
    <definedName name="PSWMergedSavingCell_0_449" hidden="1">#REF!</definedName>
    <definedName name="PSWMergedSavingCell_0_45" hidden="1">#REF!</definedName>
    <definedName name="PSWMergedSavingCell_0_450" hidden="1">#REF!</definedName>
    <definedName name="PSWMergedSavingCell_0_451" hidden="1">#REF!</definedName>
    <definedName name="PSWMergedSavingCell_0_452" hidden="1">#REF!</definedName>
    <definedName name="PSWMergedSavingCell_0_453" hidden="1">#REF!</definedName>
    <definedName name="PSWMergedSavingCell_0_454" hidden="1">#REF!</definedName>
    <definedName name="PSWMergedSavingCell_0_455" hidden="1">#REF!</definedName>
    <definedName name="PSWMergedSavingCell_0_456" hidden="1">#REF!</definedName>
    <definedName name="PSWMergedSavingCell_0_457" hidden="1">#REF!</definedName>
    <definedName name="PSWMergedSavingCell_0_458" hidden="1">#REF!</definedName>
    <definedName name="PSWMergedSavingCell_0_459" hidden="1">#REF!</definedName>
    <definedName name="PSWMergedSavingCell_0_46" hidden="1">#REF!</definedName>
    <definedName name="PSWMergedSavingCell_0_460" hidden="1">#REF!</definedName>
    <definedName name="PSWMergedSavingCell_0_461" hidden="1">#REF!</definedName>
    <definedName name="PSWMergedSavingCell_0_462" hidden="1">#REF!</definedName>
    <definedName name="PSWMergedSavingCell_0_463" hidden="1">#REF!</definedName>
    <definedName name="PSWMergedSavingCell_0_464" hidden="1">#REF!</definedName>
    <definedName name="PSWMergedSavingCell_0_465" hidden="1">#REF!</definedName>
    <definedName name="PSWMergedSavingCell_0_466" hidden="1">#REF!</definedName>
    <definedName name="PSWMergedSavingCell_0_467" hidden="1">#REF!</definedName>
    <definedName name="PSWMergedSavingCell_0_468" hidden="1">#REF!</definedName>
    <definedName name="PSWMergedSavingCell_0_469" hidden="1">#REF!</definedName>
    <definedName name="PSWMergedSavingCell_0_47" hidden="1">#REF!</definedName>
    <definedName name="PSWMergedSavingCell_0_470" hidden="1">#REF!</definedName>
    <definedName name="PSWMergedSavingCell_0_471" hidden="1">#REF!</definedName>
    <definedName name="PSWMergedSavingCell_0_472" hidden="1">#REF!</definedName>
    <definedName name="PSWMergedSavingCell_0_473" hidden="1">#REF!</definedName>
    <definedName name="PSWMergedSavingCell_0_474" hidden="1">#REF!</definedName>
    <definedName name="PSWMergedSavingCell_0_475" hidden="1">#REF!</definedName>
    <definedName name="PSWMergedSavingCell_0_476" hidden="1">#REF!</definedName>
    <definedName name="PSWMergedSavingCell_0_477" hidden="1">#REF!</definedName>
    <definedName name="PSWMergedSavingCell_0_478" hidden="1">#REF!</definedName>
    <definedName name="PSWMergedSavingCell_0_479" hidden="1">#REF!</definedName>
    <definedName name="PSWMergedSavingCell_0_48" hidden="1">#REF!</definedName>
    <definedName name="PSWMergedSavingCell_0_480" hidden="1">#REF!</definedName>
    <definedName name="PSWMergedSavingCell_0_481" hidden="1">#REF!</definedName>
    <definedName name="PSWMergedSavingCell_0_482" hidden="1">#REF!</definedName>
    <definedName name="PSWMergedSavingCell_0_483" hidden="1">#REF!</definedName>
    <definedName name="PSWMergedSavingCell_0_484" hidden="1">#REF!</definedName>
    <definedName name="PSWMergedSavingCell_0_485" hidden="1">#REF!</definedName>
    <definedName name="PSWMergedSavingCell_0_486" hidden="1">#REF!</definedName>
    <definedName name="PSWMergedSavingCell_0_487" hidden="1">#REF!</definedName>
    <definedName name="PSWMergedSavingCell_0_488" hidden="1">#REF!</definedName>
    <definedName name="PSWMergedSavingCell_0_489" hidden="1">#REF!</definedName>
    <definedName name="PSWMergedSavingCell_0_49" hidden="1">#REF!</definedName>
    <definedName name="PSWMergedSavingCell_0_490" hidden="1">#REF!</definedName>
    <definedName name="PSWMergedSavingCell_0_491" hidden="1">#REF!</definedName>
    <definedName name="PSWMergedSavingCell_0_492" hidden="1">#REF!</definedName>
    <definedName name="PSWMergedSavingCell_0_493" hidden="1">#REF!</definedName>
    <definedName name="PSWMergedSavingCell_0_494" hidden="1">#REF!</definedName>
    <definedName name="PSWMergedSavingCell_0_495" hidden="1">#REF!</definedName>
    <definedName name="PSWMergedSavingCell_0_496" hidden="1">#REF!</definedName>
    <definedName name="PSWMergedSavingCell_0_497" hidden="1">#REF!</definedName>
    <definedName name="PSWMergedSavingCell_0_498" hidden="1">#REF!</definedName>
    <definedName name="PSWMergedSavingCell_0_499" hidden="1">#REF!</definedName>
    <definedName name="PSWMergedSavingCell_0_5" hidden="1">#REF!</definedName>
    <definedName name="PSWMergedSavingCell_0_50" hidden="1">#REF!</definedName>
    <definedName name="PSWMergedSavingCell_0_500" hidden="1">#REF!</definedName>
    <definedName name="PSWMergedSavingCell_0_501" hidden="1">#REF!</definedName>
    <definedName name="PSWMergedSavingCell_0_502" hidden="1">#REF!</definedName>
    <definedName name="PSWMergedSavingCell_0_503" hidden="1">#REF!</definedName>
    <definedName name="PSWMergedSavingCell_0_504" hidden="1">#REF!</definedName>
    <definedName name="PSWMergedSavingCell_0_505" hidden="1">#REF!</definedName>
    <definedName name="PSWMergedSavingCell_0_506" hidden="1">#REF!</definedName>
    <definedName name="PSWMergedSavingCell_0_507" hidden="1">#REF!</definedName>
    <definedName name="PSWMergedSavingCell_0_508" hidden="1">#REF!</definedName>
    <definedName name="PSWMergedSavingCell_0_509" hidden="1">#REF!</definedName>
    <definedName name="PSWMergedSavingCell_0_51" hidden="1">#REF!</definedName>
    <definedName name="PSWMergedSavingCell_0_510" hidden="1">#REF!</definedName>
    <definedName name="PSWMergedSavingCell_0_511" hidden="1">#REF!</definedName>
    <definedName name="PSWMergedSavingCell_0_512" hidden="1">#REF!</definedName>
    <definedName name="PSWMergedSavingCell_0_513" hidden="1">#REF!</definedName>
    <definedName name="PSWMergedSavingCell_0_514" hidden="1">#REF!</definedName>
    <definedName name="PSWMergedSavingCell_0_515" hidden="1">#REF!</definedName>
    <definedName name="PSWMergedSavingCell_0_516" hidden="1">#REF!</definedName>
    <definedName name="PSWMergedSavingCell_0_517" hidden="1">#REF!</definedName>
    <definedName name="PSWMergedSavingCell_0_518" hidden="1">#REF!</definedName>
    <definedName name="PSWMergedSavingCell_0_519" hidden="1">#REF!</definedName>
    <definedName name="PSWMergedSavingCell_0_52" hidden="1">#REF!</definedName>
    <definedName name="PSWMergedSavingCell_0_520" hidden="1">#REF!</definedName>
    <definedName name="PSWMergedSavingCell_0_521" hidden="1">#REF!</definedName>
    <definedName name="PSWMergedSavingCell_0_522" hidden="1">#REF!</definedName>
    <definedName name="PSWMergedSavingCell_0_523" hidden="1">#REF!</definedName>
    <definedName name="PSWMergedSavingCell_0_524" hidden="1">#REF!</definedName>
    <definedName name="PSWMergedSavingCell_0_525" hidden="1">#REF!</definedName>
    <definedName name="PSWMergedSavingCell_0_526" hidden="1">#REF!</definedName>
    <definedName name="PSWMergedSavingCell_0_527" hidden="1">#REF!</definedName>
    <definedName name="PSWMergedSavingCell_0_528" hidden="1">#REF!</definedName>
    <definedName name="PSWMergedSavingCell_0_529" hidden="1">#REF!</definedName>
    <definedName name="PSWMergedSavingCell_0_53" hidden="1">#REF!</definedName>
    <definedName name="PSWMergedSavingCell_0_530" hidden="1">#REF!</definedName>
    <definedName name="PSWMergedSavingCell_0_531" hidden="1">#REF!</definedName>
    <definedName name="PSWMergedSavingCell_0_532" hidden="1">#REF!</definedName>
    <definedName name="PSWMergedSavingCell_0_533" hidden="1">#REF!</definedName>
    <definedName name="PSWMergedSavingCell_0_534" hidden="1">#REF!</definedName>
    <definedName name="PSWMergedSavingCell_0_535" hidden="1">#REF!</definedName>
    <definedName name="PSWMergedSavingCell_0_536" hidden="1">#REF!</definedName>
    <definedName name="PSWMergedSavingCell_0_537" hidden="1">#REF!</definedName>
    <definedName name="PSWMergedSavingCell_0_538" hidden="1">#REF!</definedName>
    <definedName name="PSWMergedSavingCell_0_539" hidden="1">#REF!</definedName>
    <definedName name="PSWMergedSavingCell_0_54" hidden="1">#REF!</definedName>
    <definedName name="PSWMergedSavingCell_0_540" hidden="1">#REF!</definedName>
    <definedName name="PSWMergedSavingCell_0_541" hidden="1">#REF!</definedName>
    <definedName name="PSWMergedSavingCell_0_542" hidden="1">#REF!</definedName>
    <definedName name="PSWMergedSavingCell_0_543" hidden="1">#REF!</definedName>
    <definedName name="PSWMergedSavingCell_0_544" hidden="1">#REF!</definedName>
    <definedName name="PSWMergedSavingCell_0_545" hidden="1">#REF!</definedName>
    <definedName name="PSWMergedSavingCell_0_546" hidden="1">#REF!</definedName>
    <definedName name="PSWMergedSavingCell_0_547" hidden="1">#REF!</definedName>
    <definedName name="PSWMergedSavingCell_0_548" hidden="1">#REF!</definedName>
    <definedName name="PSWMergedSavingCell_0_549" hidden="1">#REF!</definedName>
    <definedName name="PSWMergedSavingCell_0_55" hidden="1">#REF!</definedName>
    <definedName name="PSWMergedSavingCell_0_550" hidden="1">#REF!</definedName>
    <definedName name="PSWMergedSavingCell_0_551" hidden="1">#REF!</definedName>
    <definedName name="PSWMergedSavingCell_0_552" hidden="1">#REF!</definedName>
    <definedName name="PSWMergedSavingCell_0_553" hidden="1">#REF!</definedName>
    <definedName name="PSWMergedSavingCell_0_554" hidden="1">#REF!</definedName>
    <definedName name="PSWMergedSavingCell_0_555" hidden="1">#REF!</definedName>
    <definedName name="PSWMergedSavingCell_0_556" hidden="1">#REF!</definedName>
    <definedName name="PSWMergedSavingCell_0_557" hidden="1">#REF!</definedName>
    <definedName name="PSWMergedSavingCell_0_558" hidden="1">#REF!</definedName>
    <definedName name="PSWMergedSavingCell_0_559" hidden="1">#REF!</definedName>
    <definedName name="PSWMergedSavingCell_0_56" hidden="1">#REF!</definedName>
    <definedName name="PSWMergedSavingCell_0_560" hidden="1">#REF!</definedName>
    <definedName name="PSWMergedSavingCell_0_561" hidden="1">#REF!</definedName>
    <definedName name="PSWMergedSavingCell_0_562" hidden="1">#REF!</definedName>
    <definedName name="PSWMergedSavingCell_0_563" hidden="1">#REF!</definedName>
    <definedName name="PSWMergedSavingCell_0_564" hidden="1">#REF!</definedName>
    <definedName name="PSWMergedSavingCell_0_565" hidden="1">#REF!</definedName>
    <definedName name="PSWMergedSavingCell_0_566" hidden="1">#REF!</definedName>
    <definedName name="PSWMergedSavingCell_0_567" hidden="1">#REF!</definedName>
    <definedName name="PSWMergedSavingCell_0_568" hidden="1">#REF!</definedName>
    <definedName name="PSWMergedSavingCell_0_569" hidden="1">#REF!</definedName>
    <definedName name="PSWMergedSavingCell_0_57" hidden="1">#REF!</definedName>
    <definedName name="PSWMergedSavingCell_0_570" hidden="1">#REF!</definedName>
    <definedName name="PSWMergedSavingCell_0_571" hidden="1">#REF!</definedName>
    <definedName name="PSWMergedSavingCell_0_572" hidden="1">#REF!</definedName>
    <definedName name="PSWMergedSavingCell_0_573" hidden="1">#REF!</definedName>
    <definedName name="PSWMergedSavingCell_0_574" hidden="1">#REF!</definedName>
    <definedName name="PSWMergedSavingCell_0_575" hidden="1">#REF!</definedName>
    <definedName name="PSWMergedSavingCell_0_576" hidden="1">#REF!</definedName>
    <definedName name="PSWMergedSavingCell_0_577" hidden="1">#REF!</definedName>
    <definedName name="PSWMergedSavingCell_0_578" hidden="1">#REF!</definedName>
    <definedName name="PSWMergedSavingCell_0_579" hidden="1">#REF!</definedName>
    <definedName name="PSWMergedSavingCell_0_58" hidden="1">#REF!</definedName>
    <definedName name="PSWMergedSavingCell_0_580" hidden="1">#REF!</definedName>
    <definedName name="PSWMergedSavingCell_0_581" hidden="1">#REF!</definedName>
    <definedName name="PSWMergedSavingCell_0_582" hidden="1">#REF!</definedName>
    <definedName name="PSWMergedSavingCell_0_583" hidden="1">#REF!</definedName>
    <definedName name="PSWMergedSavingCell_0_584" hidden="1">#REF!</definedName>
    <definedName name="PSWMergedSavingCell_0_59" hidden="1">#REF!</definedName>
    <definedName name="PSWMergedSavingCell_0_6" hidden="1">#REF!</definedName>
    <definedName name="PSWMergedSavingCell_0_60" hidden="1">#REF!</definedName>
    <definedName name="PSWMergedSavingCell_0_61" hidden="1">#REF!</definedName>
    <definedName name="PSWMergedSavingCell_0_62" hidden="1">#REF!</definedName>
    <definedName name="PSWMergedSavingCell_0_63" hidden="1">#REF!</definedName>
    <definedName name="PSWMergedSavingCell_0_64" hidden="1">#REF!</definedName>
    <definedName name="PSWMergedSavingCell_0_65" hidden="1">#REF!</definedName>
    <definedName name="PSWMergedSavingCell_0_66" hidden="1">#REF!</definedName>
    <definedName name="PSWMergedSavingCell_0_67" hidden="1">#REF!</definedName>
    <definedName name="PSWMergedSavingCell_0_68" hidden="1">#REF!</definedName>
    <definedName name="PSWMergedSavingCell_0_69" hidden="1">#REF!</definedName>
    <definedName name="PSWMergedSavingCell_0_7" hidden="1">#REF!</definedName>
    <definedName name="PSWMergedSavingCell_0_70" hidden="1">#REF!</definedName>
    <definedName name="PSWMergedSavingCell_0_71" hidden="1">#REF!</definedName>
    <definedName name="PSWMergedSavingCell_0_72" hidden="1">#REF!</definedName>
    <definedName name="PSWMergedSavingCell_0_73" hidden="1">#REF!</definedName>
    <definedName name="PSWMergedSavingCell_0_74" hidden="1">#REF!</definedName>
    <definedName name="PSWMergedSavingCell_0_75" hidden="1">#REF!</definedName>
    <definedName name="PSWMergedSavingCell_0_76" hidden="1">#REF!</definedName>
    <definedName name="PSWMergedSavingCell_0_77" hidden="1">#REF!</definedName>
    <definedName name="PSWMergedSavingCell_0_78" hidden="1">#REF!</definedName>
    <definedName name="PSWMergedSavingCell_0_79" hidden="1">#REF!</definedName>
    <definedName name="PSWMergedSavingCell_0_8" hidden="1">#REF!</definedName>
    <definedName name="PSWMergedSavingCell_0_80" hidden="1">#REF!</definedName>
    <definedName name="PSWMergedSavingCell_0_81" hidden="1">#REF!</definedName>
    <definedName name="PSWMergedSavingCell_0_82" hidden="1">#REF!</definedName>
    <definedName name="PSWMergedSavingCell_0_83" hidden="1">#REF!</definedName>
    <definedName name="PSWMergedSavingCell_0_84" hidden="1">#REF!</definedName>
    <definedName name="PSWMergedSavingCell_0_85" hidden="1">#REF!</definedName>
    <definedName name="PSWMergedSavingCell_0_86" hidden="1">#REF!</definedName>
    <definedName name="PSWMergedSavingCell_0_87" hidden="1">#REF!</definedName>
    <definedName name="PSWMergedSavingCell_0_88" hidden="1">#REF!</definedName>
    <definedName name="PSWMergedSavingCell_0_89" hidden="1">#REF!</definedName>
    <definedName name="PSWMergedSavingCell_0_9" hidden="1">#REF!</definedName>
    <definedName name="PSWMergedSavingCell_0_90" hidden="1">#REF!</definedName>
    <definedName name="PSWMergedSavingCell_0_91" hidden="1">#REF!</definedName>
    <definedName name="PSWMergedSavingCell_0_92" hidden="1">#REF!</definedName>
    <definedName name="PSWMergedSavingCell_0_93" hidden="1">#REF!</definedName>
    <definedName name="PSWMergedSavingCell_0_94" hidden="1">#REF!</definedName>
    <definedName name="PSWMergedSavingCell_0_95" hidden="1">#REF!</definedName>
    <definedName name="PSWMergedSavingCell_0_96" hidden="1">#REF!</definedName>
    <definedName name="PSWMergedSavingCell_0_97" hidden="1">#REF!</definedName>
    <definedName name="PSWMergedSavingCell_0_98" hidden="1">#REF!</definedName>
    <definedName name="PSWMergedSavingCell_0_99" hidden="1">#REF!</definedName>
    <definedName name="PSWMergedSavingCells_0" hidden="1">#REF!</definedName>
    <definedName name="PSWOutput_0" hidden="1">#REF!</definedName>
    <definedName name="PSWSavingCell_0"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1_0_Labels" hidden="1">#REF!</definedName>
    <definedName name="PSWSeries_1_0_Values" hidden="1">#REF!</definedName>
    <definedName name="PSWSeries_1_1_Labels" hidden="1">#REF!</definedName>
    <definedName name="PSWSeries_1_1_Values" hidden="1">#REF!</definedName>
    <definedName name="PSWSeries_1_2_Labels" hidden="1">#REF!</definedName>
    <definedName name="PSWSeries_1_2_Values" hidden="1">#REF!</definedName>
    <definedName name="PSWSeries_1_3_Labels" hidden="1">#REF!</definedName>
    <definedName name="PSWSeries_1_3_Values" hidden="1">#REF!</definedName>
    <definedName name="PT5N">[3]Equipment!$L$153</definedName>
    <definedName name="PT5OER">[3]Equipment!$J$153</definedName>
    <definedName name="PT5OR">[3]Equipment!$E$153</definedName>
    <definedName name="PT5RR">[3]Equipment!$D$153</definedName>
    <definedName name="Q">[5]Cover!$B$3</definedName>
    <definedName name="Q_DET">#REF!</definedName>
    <definedName name="QD6N">[3]Equipment!$L$74</definedName>
    <definedName name="QD6OER">[3]Equipment!$J$74</definedName>
    <definedName name="QD6OOR">[3]Equipment!$K$74</definedName>
    <definedName name="QD6OR">[3]Equipment!$E$74</definedName>
    <definedName name="QD6ORR">[3]Equipment!$I$74</definedName>
    <definedName name="QD6RR">[3]Equipment!$D$74</definedName>
    <definedName name="QI">[3]Labour!$H$6</definedName>
    <definedName name="R_DET">#REF!</definedName>
    <definedName name="RBN">[3]Equipment!$L$150</definedName>
    <definedName name="RBOER">[3]Equipment!$J$151</definedName>
    <definedName name="RBOOR">[3]Equipment!$K$150</definedName>
    <definedName name="RBOR">[3]Equipment!$E$150</definedName>
    <definedName name="RBORR">[3]Equipment!$I$150</definedName>
    <definedName name="RBRR">[3]Equipment!$D$150</definedName>
    <definedName name="REH">[3]MI!$P$68</definedName>
    <definedName name="REQ">[3]MI!$G$68</definedName>
    <definedName name="RER">[3]MI!$M$68</definedName>
    <definedName name="RFB">#REF!</definedName>
    <definedName name="RiskAutoStopPercChange">1.5</definedName>
    <definedName name="RiskCollectDistributionSamples">2</definedName>
    <definedName name="RiskExcelReportsGoInNewWorkbook">TRUE</definedName>
    <definedName name="RiskExcelReportsToGenerate">32</definedName>
    <definedName name="RiskFixedSeed">100</definedName>
    <definedName name="RiskGenerateExcelReportsAtEndOfSimulation">FALSE</definedName>
    <definedName name="RiskHasSettings">TRUE</definedName>
    <definedName name="RiskMinimizeOnStart">FALSE</definedName>
    <definedName name="RiskMonitorConvergence">FALSE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2</definedName>
    <definedName name="RiskTemplateSheetName">"myTemplate"</definedName>
    <definedName name="RiskUpdateDisplay">FALSE</definedName>
    <definedName name="RiskUseDifferentSeedForEachSim">FALSE</definedName>
    <definedName name="RiskUseFixedSeed">TRUE</definedName>
    <definedName name="RiskUseMultipleCPUs">FALSE</definedName>
    <definedName name="RMN">[3]Equipment!$L$151</definedName>
    <definedName name="RMOER">[3]Equipment!$J$151</definedName>
    <definedName name="RMOOR">[3]Equipment!$K$151</definedName>
    <definedName name="RMOR">[3]Equipment!$E$151</definedName>
    <definedName name="RMORR">[3]Equipment!$I$151</definedName>
    <definedName name="RMRR">[3]Equipment!$D$151</definedName>
    <definedName name="RWE" hidden="1">#REF!</definedName>
    <definedName name="S">[5]Cover!$F$3</definedName>
    <definedName name="S_DET">#REF!</definedName>
    <definedName name="S100AH">[3]Labour!$D$12</definedName>
    <definedName name="S100B">[3]Labour!$L$12</definedName>
    <definedName name="S100BR">[3]Labour!$C$12</definedName>
    <definedName name="S100S">[3]Labour!$J$12</definedName>
    <definedName name="S100T">[3]Labour!$K$12</definedName>
    <definedName name="S110AH">[3]Labour!$D$13</definedName>
    <definedName name="S110B">[3]Labour!$L$13</definedName>
    <definedName name="S110BR">[3]Labour!$C$13</definedName>
    <definedName name="S110S">[3]Labour!$J$13</definedName>
    <definedName name="S110T">[3]Labour!$K$13</definedName>
    <definedName name="S120AH">[3]Labour!$D$14</definedName>
    <definedName name="S120B">[3]Labour!$L$14</definedName>
    <definedName name="S120BR">[3]Labour!$C$14</definedName>
    <definedName name="S120S">[3]Labour!$J$14</definedName>
    <definedName name="S120T">[3]Labour!$K$14</definedName>
    <definedName name="S130AH">[3]Labour!$D$15</definedName>
    <definedName name="S130B">[3]Labour!$L$15</definedName>
    <definedName name="S130BR">[3]Labour!$C$15</definedName>
    <definedName name="S130S">[3]Labour!$J$15</definedName>
    <definedName name="S130T">[3]Labour!$K$15</definedName>
    <definedName name="S140AH">[3]Labour!$D$16</definedName>
    <definedName name="S140B">[3]Labour!$L$16</definedName>
    <definedName name="S140BR">[3]Labour!$C$16</definedName>
    <definedName name="S140S">[3]Labour!$J$16</definedName>
    <definedName name="S140T">[3]Labour!$K$16</definedName>
    <definedName name="S150AH">[3]Labour!$D$17</definedName>
    <definedName name="S150B">[3]Labour!$L$17</definedName>
    <definedName name="S150BR">[3]Labour!$C$17</definedName>
    <definedName name="S150S">[3]Labour!$J$17</definedName>
    <definedName name="S150T">[3]Labour!$K$17</definedName>
    <definedName name="S160AH">[3]Labour!$D$18</definedName>
    <definedName name="S160B">[3]Labour!$L$18</definedName>
    <definedName name="S160BR">[3]Labour!$C$18</definedName>
    <definedName name="S160S">[3]Labour!$J$18</definedName>
    <definedName name="S160T">[3]Labour!$K$18</definedName>
    <definedName name="S170AH">[3]Labour!$D$19</definedName>
    <definedName name="S170B">[3]Labour!$L$19</definedName>
    <definedName name="S170BR">[3]Labour!$C$19</definedName>
    <definedName name="S170S">[3]Labour!$J$19</definedName>
    <definedName name="S170T">[3]Labour!$K$19</definedName>
    <definedName name="S180AH">[3]Labour!$D$20</definedName>
    <definedName name="S180B">[3]Labour!$L$20</definedName>
    <definedName name="S180BR">[3]Labour!$C$20</definedName>
    <definedName name="S180S">[3]Labour!$J$20</definedName>
    <definedName name="S180T">[3]Labour!$K$20</definedName>
    <definedName name="S200AH">[3]Labour!$D$21</definedName>
    <definedName name="S200B">[3]Labour!$L$21</definedName>
    <definedName name="S200BR">[3]Labour!$C$21</definedName>
    <definedName name="S200S">[3]Labour!$J$21</definedName>
    <definedName name="S200T">[3]Labour!$K$21</definedName>
    <definedName name="S210AH">[3]Labour!$D$22</definedName>
    <definedName name="S210B">[3]Labour!$L$22</definedName>
    <definedName name="S210BR">[3]Labour!$C$22</definedName>
    <definedName name="S210S">[3]Labour!$J$22</definedName>
    <definedName name="S210T">[3]Labour!$K$22</definedName>
    <definedName name="S220AH">[3]Labour!$D$23</definedName>
    <definedName name="S220B">[3]Labour!$L$23</definedName>
    <definedName name="S220BR">[3]Labour!$C$23</definedName>
    <definedName name="S220S">[3]Labour!$J$23</definedName>
    <definedName name="S220T">[3]Labour!$K$23</definedName>
    <definedName name="S230AH">[3]Labour!$D$24</definedName>
    <definedName name="S230B">[3]Labour!$L$24</definedName>
    <definedName name="S230BR">[3]Labour!$C$24</definedName>
    <definedName name="S230S">[3]Labour!$J$24</definedName>
    <definedName name="S230T">[3]Labour!$K$24</definedName>
    <definedName name="S240AH">[3]Labour!$D$25</definedName>
    <definedName name="S240B">[3]Labour!$L$25</definedName>
    <definedName name="S240BR">[3]Labour!$C$25</definedName>
    <definedName name="S240S">[3]Labour!$J$25</definedName>
    <definedName name="S240T">[3]Labour!$K$25</definedName>
    <definedName name="S250AH">[3]Labour!$D$26</definedName>
    <definedName name="S250B">[3]Labour!$L$26</definedName>
    <definedName name="S250BR">[3]Labour!$C$26</definedName>
    <definedName name="S250S">[3]Labour!$J$26</definedName>
    <definedName name="S250T">[3]Labour!$K$26</definedName>
    <definedName name="S260AH">[3]Labour!$D$27</definedName>
    <definedName name="S260B">[3]Labour!$L$27</definedName>
    <definedName name="S260BR">[3]Labour!$C$27</definedName>
    <definedName name="S260S">[3]Labour!$J$27</definedName>
    <definedName name="S260T">[3]Labour!$K$27</definedName>
    <definedName name="S270AH">[3]Labour!$D$28</definedName>
    <definedName name="S270B">[3]Labour!$L$28</definedName>
    <definedName name="S270BR">[3]Labour!$C$28</definedName>
    <definedName name="S270S">[3]Labour!$J$28</definedName>
    <definedName name="S270T">[3]Labour!$K$28</definedName>
    <definedName name="S280AH">[3]Labour!$D$29</definedName>
    <definedName name="S280B">[3]Labour!$L$29</definedName>
    <definedName name="S280BR">[3]Labour!$C$29</definedName>
    <definedName name="S280S">[3]Labour!$J$29</definedName>
    <definedName name="S280T">[3]Labour!$K$29</definedName>
    <definedName name="S290AH">[3]Labour!$D$30</definedName>
    <definedName name="S290BR">[3]Labour!$C$30</definedName>
    <definedName name="S290HW">[3]Labour!$E$30</definedName>
    <definedName name="S290PF">[3]Labour!$F$30</definedName>
    <definedName name="S290S">[3]Labour!$J$30</definedName>
    <definedName name="S290T">[3]Labour!$K$30</definedName>
    <definedName name="S290TF">[3]Labour!$I$30</definedName>
    <definedName name="S571N">[3]Equipment!$L$58</definedName>
    <definedName name="S571OER">[3]Equipment!$J$58</definedName>
    <definedName name="S571OOR">[3]Equipment!$K$58</definedName>
    <definedName name="S571OR">[3]Equipment!$E$58</definedName>
    <definedName name="S571ORR">[3]Equipment!$I$58</definedName>
    <definedName name="S571RR">[3]Equipment!$D$58</definedName>
    <definedName name="S572N">[3]Equipment!$L$57</definedName>
    <definedName name="S572OER">[3]Equipment!$J$57</definedName>
    <definedName name="S572OOR">[3]Equipment!$K$57</definedName>
    <definedName name="S572OR">[3]Equipment!$E$57</definedName>
    <definedName name="S572ORR">[3]Equipment!$I$57</definedName>
    <definedName name="S572RR">[3]Equipment!$D$57</definedName>
    <definedName name="S578N">[3]Equipment!$L$54</definedName>
    <definedName name="S578OER">[3]Equipment!$J$54</definedName>
    <definedName name="S578OOR">[3]Equipment!$K$54</definedName>
    <definedName name="S578OR">[3]Equipment!$E$54</definedName>
    <definedName name="S578ORR">[3]Equipment!$I$54</definedName>
    <definedName name="S578RR">[3]Equipment!$D$54</definedName>
    <definedName name="S583N">[3]Equipment!$L$56</definedName>
    <definedName name="S583OER">[3]Equipment!$J$56</definedName>
    <definedName name="S583OOR">[3]Equipment!$K$56</definedName>
    <definedName name="S583OR">[3]Equipment!$E$56</definedName>
    <definedName name="S583ORR">[3]Equipment!$I$56</definedName>
    <definedName name="S583RR">[3]Equipment!$D$56</definedName>
    <definedName name="S589N">[3]Equipment!$L$53</definedName>
    <definedName name="S589OER">[3]Equipment!$J$53</definedName>
    <definedName name="S589OOR">[3]Equipment!$K$53</definedName>
    <definedName name="S589OR">[3]Equipment!$E$53</definedName>
    <definedName name="S589ORR">[3]Equipment!$I$53</definedName>
    <definedName name="S589RR">[3]Equipment!$D$53</definedName>
    <definedName name="S594N">[3]Equipment!$L$55</definedName>
    <definedName name="S594OER">[3]Equipment!$J$55</definedName>
    <definedName name="S594OOR">[3]Equipment!$K$55</definedName>
    <definedName name="S594OR">[3]Equipment!$E$55</definedName>
    <definedName name="S594ORR">[3]Equipment!$I$55</definedName>
    <definedName name="S594RR">[3]Equipment!$D$55</definedName>
    <definedName name="SANDN">[3]Equipment!$L$123</definedName>
    <definedName name="SANDOER">[3]Equipment!$J$123</definedName>
    <definedName name="SANDOOR">[3]Equipment!$K$123</definedName>
    <definedName name="SANDOR">[3]Equipment!$E$123</definedName>
    <definedName name="SANDORR">[3]Equipment!$I$123</definedName>
    <definedName name="SANDRR">[3]Equipment!$D$123</definedName>
    <definedName name="SAWN">[3]Equipment!$L$112</definedName>
    <definedName name="SAWOER">[3]Equipment!$J$112</definedName>
    <definedName name="SAWOOR">[3]Equipment!$K$112</definedName>
    <definedName name="SAWOR">[3]Equipment!$E$112</definedName>
    <definedName name="SAWORR">[3]Equipment!$I$112</definedName>
    <definedName name="SAWRR">[3]Equipment!$D$112</definedName>
    <definedName name="sdsa" hidden="1">{#N/A,#N/A,TRUE,"Commercial Fab Cover";#N/A,#N/A,TRUE,"Commercial Summary";#N/A,#N/A,TRUE,"Technical Summary"}</definedName>
    <definedName name="SHW">[3]LRD!#REF!</definedName>
    <definedName name="SKIDSER">[3]Equipment!$J$110</definedName>
    <definedName name="SKIDSN">[3]Equipment!$L$110</definedName>
    <definedName name="SKIDSOOR">[3]Equipment!$K$110</definedName>
    <definedName name="SKIDSOR">[3]Equipment!$E$110</definedName>
    <definedName name="SKIDSORR">[3]Equipment!$I$110</definedName>
    <definedName name="SKIDSRR">[3]Equipment!$D$110</definedName>
    <definedName name="SLDWN">[3]Equipment!$L$113</definedName>
    <definedName name="SLDWOR">[3]Equipment!$E$113</definedName>
    <definedName name="SLDWRR">[3]Equipment!$D$113</definedName>
    <definedName name="SM">[5]Cover!$B$6</definedName>
    <definedName name="SNID">[3]Equipment!$H$4</definedName>
    <definedName name="SOMH">[3]Labour!$C$6</definedName>
    <definedName name="SORT_AREA">#REF!</definedName>
    <definedName name="SOT">[3]Labour!$C$5</definedName>
    <definedName name="SPCOUNT">'[4]Front Sheet'!$Y$3</definedName>
    <definedName name="SpreadsheetWEBApplicationId" hidden="1">[12]PSW_Sheet!$A$15</definedName>
    <definedName name="SpreadsheetWEBDataID" hidden="1">[12]PSW_Sheet!$A$16</definedName>
    <definedName name="SpreadsheetWEBInternalConnection" hidden="1">[12]PSW_Sheet!$A$12</definedName>
    <definedName name="SpreadsheetWEBUserName" hidden="1">[12]PSW_Sheet!$A$13</definedName>
    <definedName name="SpreadsheetWEBUserRole" hidden="1">[12]PSW_Sheet!$A$14</definedName>
    <definedName name="ST">[3]MI!$M$35</definedName>
    <definedName name="STBH">[3]Labour!$C$2</definedName>
    <definedName name="STHD">[3]Labour!$C$3</definedName>
    <definedName name="SUB">[3]Labour!$H$7</definedName>
    <definedName name="SUMMARY">#REF!</definedName>
    <definedName name="Suppliers">#REF!</definedName>
    <definedName name="SW">[3]MI!$F$2</definedName>
    <definedName name="SWLDN">[3]Equipment!$L$59</definedName>
    <definedName name="SWLDOER">[3]Equipment!$J$59</definedName>
    <definedName name="SWLDOOR">[3]Equipment!$K$59</definedName>
    <definedName name="SWLDOR">[3]Equipment!$E$59</definedName>
    <definedName name="SWLDORR">[3]Equipment!$I$59</definedName>
    <definedName name="SWLDRR">[3]Equipment!$D$59</definedName>
    <definedName name="T100AJ">[3]Labour!$D$66</definedName>
    <definedName name="T100B">[3]Labour!$L$66</definedName>
    <definedName name="T100BR">[3]Labour!$C$66</definedName>
    <definedName name="T100S">[3]Labour!$J$66</definedName>
    <definedName name="T100T">[3]Labour!$K$66</definedName>
    <definedName name="T110AH">[3]Labour!$D$67</definedName>
    <definedName name="T110B">[3]Labour!$L$67</definedName>
    <definedName name="T110BR">[3]Labour!$C$67</definedName>
    <definedName name="T110S">[3]Labour!$J$67</definedName>
    <definedName name="T110T">[3]Labour!$K$67</definedName>
    <definedName name="T120AH">[3]Labour!$D$68</definedName>
    <definedName name="T120B">[3]Labour!$L$68</definedName>
    <definedName name="T120BR">[3]Labour!$C$68</definedName>
    <definedName name="T120S">[3]Labour!$J$68</definedName>
    <definedName name="T120T">[3]Labour!$K$68</definedName>
    <definedName name="T130AH">[3]Labour!$D$69</definedName>
    <definedName name="T130B">[3]Labour!$L$69</definedName>
    <definedName name="T130BR">[3]Labour!$C$69</definedName>
    <definedName name="T130S">[3]Labour!$J$69</definedName>
    <definedName name="T130T">[3]Labour!$K$69</definedName>
    <definedName name="T140AH">[3]Labour!$D$70</definedName>
    <definedName name="T140B">[3]Labour!$L$70</definedName>
    <definedName name="T140BR">[3]Labour!$C$70</definedName>
    <definedName name="T140S">[3]Labour!$J$70</definedName>
    <definedName name="T140T">[3]Labour!$K$70</definedName>
    <definedName name="T150AH">[3]Labour!$D$71</definedName>
    <definedName name="T150B">[3]Labour!$L$71</definedName>
    <definedName name="T150BR">[3]Labour!$C$71</definedName>
    <definedName name="T150S">[3]Labour!$J$71</definedName>
    <definedName name="T150T">[3]Labour!$K$71</definedName>
    <definedName name="T160AH">[3]Labour!$D$72</definedName>
    <definedName name="T160B">[3]Labour!$L$72</definedName>
    <definedName name="T160BR">[3]Labour!$C$72</definedName>
    <definedName name="T160S">[3]Labour!$J$72</definedName>
    <definedName name="T160T">[3]Labour!$K$72</definedName>
    <definedName name="T170AH">[3]Labour!$D$73</definedName>
    <definedName name="T170B">[3]Labour!$L$73</definedName>
    <definedName name="T170BR">[3]Labour!$C$73</definedName>
    <definedName name="T170S">[3]Labour!$J$73</definedName>
    <definedName name="T170T">[3]Labour!$K$73</definedName>
    <definedName name="T200AH">[3]Labour!$D$74</definedName>
    <definedName name="T200B">[3]Labour!$L$74</definedName>
    <definedName name="T200BR">[3]Labour!$C$74</definedName>
    <definedName name="T200S">[3]Labour!$J$74</definedName>
    <definedName name="T200T">[3]Labour!$K$74</definedName>
    <definedName name="T210AH">[3]Labour!$D$75</definedName>
    <definedName name="T210B">[3]Labour!$L$75</definedName>
    <definedName name="T210BR">[3]Labour!$C$75</definedName>
    <definedName name="T210S">[3]Labour!$J$75</definedName>
    <definedName name="T210T">[3]Labour!$K$75</definedName>
    <definedName name="T220AH">[3]Labour!$D$76</definedName>
    <definedName name="T220B">[3]Labour!$L$76</definedName>
    <definedName name="T220BR">[3]Labour!$C$76</definedName>
    <definedName name="T220S">[3]Labour!$J$76</definedName>
    <definedName name="T220T">[3]Labour!$K$76</definedName>
    <definedName name="T230AH">[3]Labour!$D$77</definedName>
    <definedName name="T230B">[3]Labour!$L$77</definedName>
    <definedName name="T230BR">[3]Labour!$C$77</definedName>
    <definedName name="T230S">[3]Labour!$J$77</definedName>
    <definedName name="T230T">[3]Labour!$K$77</definedName>
    <definedName name="T240AH">[3]Labour!$D$78</definedName>
    <definedName name="T240B">[3]Labour!$L$78</definedName>
    <definedName name="T240BR">[3]Labour!$C$78</definedName>
    <definedName name="T240S">[3]Labour!$J$78</definedName>
    <definedName name="T240T">[3]Labour!$K$78</definedName>
    <definedName name="T250AH">[3]Labour!$D$79</definedName>
    <definedName name="T250B">[3]Labour!$L$79</definedName>
    <definedName name="T250BR">[3]Labour!$C$79</definedName>
    <definedName name="T250S">[3]Labour!$J$79</definedName>
    <definedName name="T250T">[3]Labour!$K$79</definedName>
    <definedName name="T260AH">[3]Labour!$D$80</definedName>
    <definedName name="T260B">[3]Labour!$L$80</definedName>
    <definedName name="T260BR">[3]Labour!$C$80</definedName>
    <definedName name="T260S">[3]Labour!$J$80</definedName>
    <definedName name="T260T">[3]Labour!$K$80</definedName>
    <definedName name="T270AH">[3]Labour!$D$81</definedName>
    <definedName name="T270B">[3]Labour!$L$81</definedName>
    <definedName name="T270BR">[3]Labour!$C$81</definedName>
    <definedName name="T270S">[3]Labour!$J$81</definedName>
    <definedName name="T270T">[3]Labour!$K$81</definedName>
    <definedName name="T280AH">[3]Labour!$D$82</definedName>
    <definedName name="T280B">[3]Labour!$L$82</definedName>
    <definedName name="T280BR">[3]Labour!$C$82</definedName>
    <definedName name="T280S">[3]Labour!$J$82</definedName>
    <definedName name="T280T">[3]Labour!$K$82</definedName>
    <definedName name="T300AH">[3]Labour!$D$83</definedName>
    <definedName name="T300B">[3]Labour!$L$83</definedName>
    <definedName name="T300BR">[3]Labour!$C$83</definedName>
    <definedName name="T300S">[3]Labour!$J$83</definedName>
    <definedName name="T300T">[3]Labour!$K$83</definedName>
    <definedName name="T310AH">[3]Labour!$D$84</definedName>
    <definedName name="T310B">[3]Labour!$L$84</definedName>
    <definedName name="T310BR">[3]Labour!$C$84</definedName>
    <definedName name="T310S">[3]Labour!$J$84</definedName>
    <definedName name="T310T">[3]Labour!$K$84</definedName>
    <definedName name="T320AH">[3]Labour!$D$85</definedName>
    <definedName name="T320B">[3]Labour!$L$85</definedName>
    <definedName name="T320BR">[3]Labour!$C$85</definedName>
    <definedName name="T320S">[3]Labour!$J$85</definedName>
    <definedName name="T320T">[3]Labour!$K$85</definedName>
    <definedName name="T710N">[3]Equipment!$L$81</definedName>
    <definedName name="T710OER">[3]Equipment!$J$81</definedName>
    <definedName name="T710OOR">[3]Equipment!$K$81</definedName>
    <definedName name="T710OR">[3]Equipment!$E$81</definedName>
    <definedName name="T710ORR">[3]Equipment!$I$81</definedName>
    <definedName name="T710RR">[3]Equipment!$D$81</definedName>
    <definedName name="Technician__Mechweld">[3]Labour!$C$119</definedName>
    <definedName name="TEH">[3]MI!$P$69</definedName>
    <definedName name="TEQ">[3]MI!$G$69</definedName>
    <definedName name="TER">[3]MI!$M$69</definedName>
    <definedName name="TH">[3]MI!$K$35</definedName>
    <definedName name="TH08N">[3]Equipment!$L$42</definedName>
    <definedName name="TH08OER">[3]Equipment!$J$42</definedName>
    <definedName name="TH08OOR">[3]Equipment!$K$42</definedName>
    <definedName name="TH08OR">[3]Equipment!$E$42</definedName>
    <definedName name="TH08ORR">[3]Equipment!$I$42</definedName>
    <definedName name="TH08RR">[3]Equipment!$D$42</definedName>
    <definedName name="THD">#REF!</definedName>
    <definedName name="THW">[3]Labour!$E$65</definedName>
    <definedName name="TJ08N">[3]Equipment!$L$39</definedName>
    <definedName name="TJ08OER">[3]Equipment!$J$39</definedName>
    <definedName name="TJ08OOR">[3]Equipment!$K$39</definedName>
    <definedName name="TJ08OR">[3]Equipment!$E$39</definedName>
    <definedName name="TJ08ORR">[3]Equipment!$I$39</definedName>
    <definedName name="TJ08RR">[3]Equipment!$D$39</definedName>
    <definedName name="TJ16N">[3]Equipment!$L$38</definedName>
    <definedName name="TJ16OER">[3]Equipment!$J$38</definedName>
    <definedName name="TJ16OOR">[3]Equipment!$K$38</definedName>
    <definedName name="TJ16OR">[3]Equipment!$E$38</definedName>
    <definedName name="TJ16ORR">[3]Equipment!$I$38</definedName>
    <definedName name="TJ16RR">[3]Equipment!$D$38</definedName>
    <definedName name="TL08N">[3]Equipment!$L$35</definedName>
    <definedName name="TL08OER">[3]Equipment!$J$35</definedName>
    <definedName name="TL08OOR">[3]Equipment!$K$35</definedName>
    <definedName name="TL08OR">[3]Equipment!$E$35</definedName>
    <definedName name="TL08ORR">[3]Equipment!$I$35</definedName>
    <definedName name="TL08RR">[3]Equipment!$D$35</definedName>
    <definedName name="TL12N">[3]Equipment!$L$36</definedName>
    <definedName name="TL12OER">[3]Equipment!$J$36</definedName>
    <definedName name="TL12OOR">[3]Equipment!$K$36</definedName>
    <definedName name="TL12OR">[3]Equipment!$E$36</definedName>
    <definedName name="TL12ORR">[3]Equipment!$I$36</definedName>
    <definedName name="TL12RR">[3]Equipment!$D$36</definedName>
    <definedName name="TL16N">[3]Equipment!$L$37</definedName>
    <definedName name="TL16OER">[3]Equipment!$J$37</definedName>
    <definedName name="TL16OOR">[3]Equipment!$K$37</definedName>
    <definedName name="TL16OR">[3]Equipment!$E$37</definedName>
    <definedName name="TL16ORR">[3]Equipment!$I$37</definedName>
    <definedName name="TL16RR">[3]Equipment!$D$37</definedName>
    <definedName name="TM30N">[3]Equipment!$L$171</definedName>
    <definedName name="TM30OER">[3]Equipment!$J$171</definedName>
    <definedName name="TM30OOR">[3]Equipment!$K$171</definedName>
    <definedName name="TM30ORR">[3]Equipment!$I$171</definedName>
    <definedName name="TM48ER">[3]Equipment!$J$114</definedName>
    <definedName name="TM48N">[3]Equipment!$L$114</definedName>
    <definedName name="TM48OOR">[3]Equipment!$K$114</definedName>
    <definedName name="TM48ORR">[3]Equipment!$I$114</definedName>
    <definedName name="TMWN">[3]Equipment!$L$45</definedName>
    <definedName name="TMWOER">[3]Equipment!$J$45</definedName>
    <definedName name="TMWOOR">[3]Equipment!$K$45</definedName>
    <definedName name="TMWOR">[3]Equipment!$E$45</definedName>
    <definedName name="TMWORR">[3]Equipment!$I$45</definedName>
    <definedName name="TMWRR">[3]Equipment!$D$45</definedName>
    <definedName name="TNK4N">[3]Equipment!$L$195</definedName>
    <definedName name="TNK4OER">[3]Equipment!$J$195</definedName>
    <definedName name="TNK4OOR">[3]Equipment!$K$195</definedName>
    <definedName name="TNK4OR">[3]Equipment!$E$195</definedName>
    <definedName name="TNK4ORR">[3]Equipment!$I$195</definedName>
    <definedName name="TNK4RR">[3]Equipment!$D$195</definedName>
    <definedName name="TOF">[3]Labour!$H$65</definedName>
    <definedName name="TOOLN">[3]Equipment!$L$51</definedName>
    <definedName name="TOOLOER">[3]Equipment!$J$51</definedName>
    <definedName name="TOOLOR">[3]Equipment!$E$51</definedName>
    <definedName name="TOOLRR">[3]Equipment!$D$51</definedName>
    <definedName name="TOSN">[3]Equipment!$L$44</definedName>
    <definedName name="TOSOER">[3]Equipment!$J$44</definedName>
    <definedName name="TOSOOR">[3]Equipment!$K$44</definedName>
    <definedName name="TOSOR">[3]Equipment!$E$44</definedName>
    <definedName name="TOSORR">[3]Equipment!$I$44</definedName>
    <definedName name="TOSRR">[3]Equipment!$D$44</definedName>
    <definedName name="TP08N">[3]Equipment!$L$40</definedName>
    <definedName name="TP08OER">[3]Equipment!$J$40</definedName>
    <definedName name="TP12N">[3]Equipment!$L$41</definedName>
    <definedName name="TP12OER">[3]Equipment!$J$41</definedName>
    <definedName name="TP12OOR">[3]Equipment!$K$41</definedName>
    <definedName name="TP12OR">[3]Equipment!$E$41</definedName>
    <definedName name="TP12ORR">[3]Equipment!$I$41</definedName>
    <definedName name="TP12RR">[3]Equipment!$D$41</definedName>
    <definedName name="TPF">[3]Labour!$F$65</definedName>
    <definedName name="TR">[3]Labour!$L$7</definedName>
    <definedName name="TRBXN">[3]Equipment!$L$159</definedName>
    <definedName name="TRBXOER">[3]Equipment!$J$159</definedName>
    <definedName name="TRBXOOR">[3]Equipment!$K$159</definedName>
    <definedName name="TRBXOR">[3]Equipment!$E$159</definedName>
    <definedName name="TRBXORR">[3]Equipment!$I$159</definedName>
    <definedName name="TRBXRR">[3]Equipment!$D$159</definedName>
    <definedName name="TRC4N">[3]Equipment!$L$14</definedName>
    <definedName name="TRC4OER">[3]Equipment!$J$14</definedName>
    <definedName name="TRC4OOR">[3]Equipment!$K$14</definedName>
    <definedName name="TRC4OR">[3]Equipment!$E$14</definedName>
    <definedName name="TRC4ORR">[3]Equipment!$I$14</definedName>
    <definedName name="TRC4RR">[3]Equipment!$D$14</definedName>
    <definedName name="TRF3N">[3]Equipment!$L$30</definedName>
    <definedName name="TRF3OER">[3]Equipment!$J$30</definedName>
    <definedName name="TRF3OOR">[3]Equipment!$K$30</definedName>
    <definedName name="TRF3OR">[3]Equipment!$E$30</definedName>
    <definedName name="TRF3ORR">[3]Equipment!$I$30</definedName>
    <definedName name="TRF3RR">[3]Equipment!$D$30</definedName>
    <definedName name="TRFBN">[3]Equipment!$L$29</definedName>
    <definedName name="TRFBOER">[3]Equipment!$J$29</definedName>
    <definedName name="TRFBOOR">[3]Equipment!$K$29</definedName>
    <definedName name="TRFBOR">[3]Equipment!$E$29</definedName>
    <definedName name="TRFBORR">[3]Equipment!$I$29</definedName>
    <definedName name="TRFBRR">[3]Equipment!$D$29</definedName>
    <definedName name="TRFSN">[3]Equipment!$L$22</definedName>
    <definedName name="TRFSOER">[3]Equipment!$J$22</definedName>
    <definedName name="TRFSOOR">[3]Equipment!$K$22</definedName>
    <definedName name="TRFSOR">[3]Equipment!$E$22</definedName>
    <definedName name="TRFSORR">[3]Equipment!$I$22</definedName>
    <definedName name="TRFSRR">[3]Equipment!$D$22</definedName>
    <definedName name="TRMRN">[3]Equipment!$L$15</definedName>
    <definedName name="TRMROER">[3]Equipment!$J$15</definedName>
    <definedName name="TRMROOR">[3]Equipment!$K$15</definedName>
    <definedName name="TRMROR">[3]Equipment!$E$15</definedName>
    <definedName name="TRMRORR">[3]Equipment!$I$15</definedName>
    <definedName name="TRMRRR">[3]Equipment!$D$15</definedName>
    <definedName name="TRP2N">[3]Equipment!$L$17</definedName>
    <definedName name="TRP2OER">[3]Equipment!$J$17</definedName>
    <definedName name="TRP2OOR">[3]Equipment!$K$17</definedName>
    <definedName name="TRP2OR">[3]Equipment!$E$17</definedName>
    <definedName name="TRP2ORR">[3]Equipment!$I$17</definedName>
    <definedName name="TRP2RR">[3]Equipment!$D$17</definedName>
    <definedName name="TRP4N">[3]Equipment!$L$13</definedName>
    <definedName name="TRP4OER">[3]Equipment!$J$13</definedName>
    <definedName name="TRP4OOR">[3]Equipment!$K$13</definedName>
    <definedName name="TRP4OR">[3]Equipment!$E$13</definedName>
    <definedName name="TRP4ORR">[3]Equipment!$I$13</definedName>
    <definedName name="TRP4RR">[3]Equipment!$D$13</definedName>
    <definedName name="TRSCN">[3]Equipment!$L$31</definedName>
    <definedName name="TRSCOER">[3]Equipment!$J$31</definedName>
    <definedName name="TRSCOOR">[3]Equipment!$K$31</definedName>
    <definedName name="TRSCOR">[3]Equipment!$E$31</definedName>
    <definedName name="TRSCORR">[3]Equipment!$I$31</definedName>
    <definedName name="TRSCRR">[3]Equipment!$D$31</definedName>
    <definedName name="TRSFN">[3]Equipment!$L$24</definedName>
    <definedName name="TRSFOER">[3]Equipment!$J$24</definedName>
    <definedName name="TRSFOOR">[3]Equipment!$K$24</definedName>
    <definedName name="TRSFOR">[3]Equipment!$E$24</definedName>
    <definedName name="TRSFORR">[3]Equipment!$I$24</definedName>
    <definedName name="TRSFRR">[3]Equipment!$D$24</definedName>
    <definedName name="TRSSN">[3]Equipment!$L$23</definedName>
    <definedName name="TRSSOER">[3]Equipment!$J$23</definedName>
    <definedName name="TRSSOOR">[3]Equipment!$K$23</definedName>
    <definedName name="TRSSOR">[3]Equipment!$E$23</definedName>
    <definedName name="TRSSORR">[3]Equipment!$I$23</definedName>
    <definedName name="TRSSRR">[3]Equipment!$D$23</definedName>
    <definedName name="TRTBN">[3]Equipment!$L$28</definedName>
    <definedName name="TRTBOER">[3]Equipment!$J$28</definedName>
    <definedName name="TRTBOOR">[3]Equipment!$K$28</definedName>
    <definedName name="TRTBOR">[3]Equipment!$E$28</definedName>
    <definedName name="TRTBORR">[3]Equipment!$I$28</definedName>
    <definedName name="TRTBRR">[3]Equipment!$D$28</definedName>
    <definedName name="TRTCN">[3]Equipment!$L$12</definedName>
    <definedName name="TRTCOER">[3]Equipment!$J$12</definedName>
    <definedName name="TRTCOOR">[3]Equipment!$K$12</definedName>
    <definedName name="TRTCOR">[3]Equipment!$E$12</definedName>
    <definedName name="TRTCORR">[3]Equipment!$I$12</definedName>
    <definedName name="TRTCRR">[3]Equipment!$D$12</definedName>
    <definedName name="TRTDN">[3]Equipment!$L$34</definedName>
    <definedName name="TRTDOER">[3]Equipment!$J$34</definedName>
    <definedName name="TRTDOOR">[3]Equipment!$K$34</definedName>
    <definedName name="TRTDOR">[3]Equipment!$E$34</definedName>
    <definedName name="TRTDORR">[3]Equipment!$I$34</definedName>
    <definedName name="TRTDRR">[3]Equipment!$D$34</definedName>
    <definedName name="TRTFN">[3]Equipment!$L$20</definedName>
    <definedName name="TRTFOER">[3]Equipment!$J$20</definedName>
    <definedName name="TRTFOOR">[3]Equipment!$K$20</definedName>
    <definedName name="TRTFOR">[3]Equipment!$E$20</definedName>
    <definedName name="TRTFORR">[3]Equipment!$I$20</definedName>
    <definedName name="TRTFRR">[3]Equipment!$D$20</definedName>
    <definedName name="TRTSN">[3]Equipment!$L$21</definedName>
    <definedName name="TRTSOER">[3]Equipment!$J$21</definedName>
    <definedName name="TRTSOOR">[3]Equipment!$K$21</definedName>
    <definedName name="TRTSOR">[3]Equipment!$E$21</definedName>
    <definedName name="TRTSORR">[3]Equipment!$I$21</definedName>
    <definedName name="TRTSRR">[3]Equipment!$D$21</definedName>
    <definedName name="TRTTN">[3]Equipment!$L$10</definedName>
    <definedName name="TRTTOER">[3]Equipment!$J$10</definedName>
    <definedName name="TRTTOOR">[3]Equipment!$K$10</definedName>
    <definedName name="TRTTOR">[3]Equipment!$E$10</definedName>
    <definedName name="TRTTORR">[3]Equipment!$I$10</definedName>
    <definedName name="TRTTRR">[3]Equipment!$D$10</definedName>
    <definedName name="TRTWN">[3]Equipment!$L$11</definedName>
    <definedName name="TRTWOER">[3]Equipment!$J$11</definedName>
    <definedName name="TRTWOOR">[3]Equipment!$K$11</definedName>
    <definedName name="TRTWOR">[3]Equipment!$E$11</definedName>
    <definedName name="TRTWORR">[3]Equipment!$I$11</definedName>
    <definedName name="TRTWRR">[3]Equipment!$D$11</definedName>
    <definedName name="TRUWN">[3]Equipment!$L$25</definedName>
    <definedName name="TRUWOER">[3]Equipment!$J$25</definedName>
    <definedName name="TRUWOOR">[3]Equipment!$K$25</definedName>
    <definedName name="TRUWOR">[3]Equipment!$E$25</definedName>
    <definedName name="TRUWORR">[3]Equipment!$I$25</definedName>
    <definedName name="TRUWRR">[3]Equipment!$D$25</definedName>
    <definedName name="TRWDN">[3]Equipment!$L$27</definedName>
    <definedName name="TRWDOER">[3]Equipment!$J$27</definedName>
    <definedName name="TRWDOOR">[3]Equipment!$K$27</definedName>
    <definedName name="TRWDOR">[3]Equipment!$E$27</definedName>
    <definedName name="TRWDORR">[3]Equipment!$I$27</definedName>
    <definedName name="TRWDRR">[3]Equipment!$D$27</definedName>
    <definedName name="TRWGN">[3]Equipment!$L$26</definedName>
    <definedName name="TRWGOER">[3]Equipment!$J$26</definedName>
    <definedName name="TRWGOOR">[3]Equipment!$K$26</definedName>
    <definedName name="TRWGOR">[3]Equipment!$E$26</definedName>
    <definedName name="TRWGORR">[3]Equipment!$I$26</definedName>
    <definedName name="TRWGRR">[3]Equipment!$D$26</definedName>
    <definedName name="TRWRN">[3]Equipment!$L$16</definedName>
    <definedName name="TRWROER">[3]Equipment!$J$16</definedName>
    <definedName name="TRWROOR">[3]Equipment!$K$16</definedName>
    <definedName name="TRWROR">[3]Equipment!$E$16</definedName>
    <definedName name="TRWRORR">[3]Equipment!$I$16</definedName>
    <definedName name="TRWRRR">[3]Equipment!$D$16</definedName>
    <definedName name="TRWTN">[3]Equipment!$L$32</definedName>
    <definedName name="TRWTOER">[3]Equipment!$J$32</definedName>
    <definedName name="TRWTOOR">[3]Equipment!$K$32</definedName>
    <definedName name="TRWTOR">[3]Equipment!$E$32</definedName>
    <definedName name="TRWTORR">[3]Equipment!$I$32</definedName>
    <definedName name="TRWTRR">[3]Equipment!$D$32</definedName>
    <definedName name="TSTRN">[3]Equipment!$L$140</definedName>
    <definedName name="TSTROER">[3]Equipment!$J$140</definedName>
    <definedName name="TSTROR">[3]Equipment!$E$140</definedName>
    <definedName name="TSTRORR">[3]Equipment!$I$140</definedName>
    <definedName name="TSTRRR">[3]Equipment!$D$140</definedName>
    <definedName name="TT">[3]MI!$N$35</definedName>
    <definedName name="TTF">[3]Labour!$G$65</definedName>
    <definedName name="TW08N">[3]Equipment!$L$43</definedName>
    <definedName name="TW08OER">[3]Equipment!$J$43</definedName>
    <definedName name="TW08OOR">[3]Equipment!$K$43</definedName>
    <definedName name="TW08OR">[3]Equipment!$E$43</definedName>
    <definedName name="TW08ORR">[3]Equipment!$I$43</definedName>
    <definedName name="TW08RR">[3]Equipment!$D$43</definedName>
    <definedName name="UC?">[3]Labour!$D$8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PER">'[10]triangular&amp;uniform'!$E$5</definedName>
    <definedName name="VN">[5]Cover!$E$2</definedName>
    <definedName name="W100AH">[3]Labour!$D$108</definedName>
    <definedName name="W100B">[3]Labour!$L$108</definedName>
    <definedName name="W100BR">[3]Labour!$C$108</definedName>
    <definedName name="W100S">[3]Labour!$J$108</definedName>
    <definedName name="W100T">[3]Labour!$K$108</definedName>
    <definedName name="W110AH">[3]Labour!$D$109</definedName>
    <definedName name="W110B">[3]Labour!$L$109</definedName>
    <definedName name="W110BR">[3]Labour!$C$109</definedName>
    <definedName name="W110S">[3]Labour!$J$109</definedName>
    <definedName name="W110T">[3]Labour!$K$109</definedName>
    <definedName name="W120AH">[3]Labour!$D$110</definedName>
    <definedName name="W120B">[3]Labour!$L$110</definedName>
    <definedName name="W120BR">[3]Labour!$C$110</definedName>
    <definedName name="W120S">[3]Labour!$J$110</definedName>
    <definedName name="W120T">[3]Labour!$K$110</definedName>
    <definedName name="W125AH">[3]Labour!$D$111</definedName>
    <definedName name="W130AH">[3]Labour!$D$112</definedName>
    <definedName name="W130B">[3]Labour!$L$112</definedName>
    <definedName name="W130BR">[3]Labour!$C$112</definedName>
    <definedName name="W130S">[3]Labour!$J$112</definedName>
    <definedName name="W130T">[3]Labour!$K$112</definedName>
    <definedName name="W140AH">[3]Labour!$D$113</definedName>
    <definedName name="W140B">[3]Labour!$L$113</definedName>
    <definedName name="W140BR">[3]Labour!$C$113</definedName>
    <definedName name="W140S">[3]Labour!$J$113</definedName>
    <definedName name="W140T">[3]Labour!$K$113</definedName>
    <definedName name="W150AH">[3]Labour!$D$115</definedName>
    <definedName name="W150B">[3]Labour!$L$115</definedName>
    <definedName name="W150BR">[3]Labour!$C$115</definedName>
    <definedName name="W150S">[3]Labour!$J$115</definedName>
    <definedName name="W150T">[3]Labour!$K$115</definedName>
    <definedName name="W190AH">[3]Labour!$D$116</definedName>
    <definedName name="W190B">[3]Labour!$L$116</definedName>
    <definedName name="W190BR">[3]Labour!$C$116</definedName>
    <definedName name="W190S">[3]Labour!$J$116</definedName>
    <definedName name="W190T">[3]Labour!$K$116</definedName>
    <definedName name="W200AH">[3]Labour!$D$117</definedName>
    <definedName name="W200B">[3]Labour!$L$117</definedName>
    <definedName name="W200BR">[3]Labour!$C$117</definedName>
    <definedName name="W200S">[3]Labour!$J$117</definedName>
    <definedName name="W200T">[3]Labour!$K$117</definedName>
    <definedName name="W210AH">[3]Labour!$D$118</definedName>
    <definedName name="W210B">[3]Labour!$L$118</definedName>
    <definedName name="W210BR">[3]Labour!$C$118</definedName>
    <definedName name="W210S">[3]Labour!$J$118</definedName>
    <definedName name="W210T">[3]Labour!$K$118</definedName>
    <definedName name="W220S">[3]Labour!$J$119</definedName>
    <definedName name="WD">[5]Cover!$J$5</definedName>
    <definedName name="wdc">#REF!</definedName>
    <definedName name="Welder_Helper">[3]Labour!$C$117</definedName>
    <definedName name="WH">[3]MI!$J$35</definedName>
    <definedName name="WH20N">[3]Equipment!$L$164</definedName>
    <definedName name="WH20OER">[3]Equipment!$J$164</definedName>
    <definedName name="WH20OOR">[3]Equipment!$K$164</definedName>
    <definedName name="WH20OR">[3]Equipment!$E$164</definedName>
    <definedName name="WH20ORR">[3]Equipment!$I$164</definedName>
    <definedName name="WH20RR">[3]Equipment!$D$164</definedName>
    <definedName name="WHW">[3]Labour!$E$107</definedName>
    <definedName name="WLD2N">[3]Equipment!$L$73</definedName>
    <definedName name="WLD2OOR">[3]Equipment!$K$73</definedName>
    <definedName name="WLD2OR">[3]Equipment!$E$73</definedName>
    <definedName name="WLD2ORR">[3]Equipment!$I$73</definedName>
    <definedName name="WLD2RR">[3]Equipment!$D$73</definedName>
    <definedName name="WLD3N">[3]Equipment!$L$72</definedName>
    <definedName name="WLD3OOR">[3]Equipment!$K$72</definedName>
    <definedName name="WLD3OR">[3]Equipment!$E$72</definedName>
    <definedName name="WLD3ORR">[3]Equipment!$I$72</definedName>
    <definedName name="WLD3RR">[3]Equipment!$D$72</definedName>
    <definedName name="WLDIN">[3]Equipment!$L$71</definedName>
    <definedName name="WLDIOER">[3]Equipment!$J$71</definedName>
    <definedName name="WLDIOOR">[3]Equipment!$K$71</definedName>
    <definedName name="WLDIOR">[3]Equipment!$E$71</definedName>
    <definedName name="WLDIORR">[3]Equipment!$I$71</definedName>
    <definedName name="WLDIRR">[3]Equipment!$D$71</definedName>
    <definedName name="WOF">[3]Labour!$H$107</definedName>
    <definedName name="WPF">[3]Labour!$F$107</definedName>
    <definedName name="WRD">[3]LRD!$J$5</definedName>
    <definedName name="wrn.Commercial._.Only." hidden="1">{#N/A,#N/A,TRUE,"Commercial Fab Cover";#N/A,#N/A,TRUE,"Commercial Summary"}</definedName>
    <definedName name="wrn.Complete._.Spread." hidden="1">{#N/A,#N/A,TRUE,"Commercial Fab Cover";#N/A,#N/A,TRUE,"Commercial Summary";#N/A,#N/A,TRUE,"Technical Summary"}</definedName>
    <definedName name="WTF">[3]Labour!$G$107</definedName>
    <definedName name="X_DET">#REF!</definedName>
    <definedName name="XXXXER">[3]RDP!$N$27</definedName>
    <definedName name="yearList">[4]VLOOKUP!$G$1:$G$21</definedName>
    <definedName name="yn">[4]VLOOKUP!$J$1:$J$2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67" i="23" l="1"/>
  <c r="BB58" i="23"/>
  <c r="BB57" i="23"/>
  <c r="BB56" i="23"/>
  <c r="BB41" i="23"/>
  <c r="BB40" i="23"/>
  <c r="BB39" i="23"/>
  <c r="BB38" i="23"/>
  <c r="BB43" i="23" s="1"/>
  <c r="BA50" i="23"/>
  <c r="BA49" i="23"/>
  <c r="BA40" i="23"/>
  <c r="BA39" i="23"/>
  <c r="BA38" i="23"/>
  <c r="BA43" i="23" s="1"/>
  <c r="BA28" i="23"/>
  <c r="BA27" i="23"/>
  <c r="BA30" i="23" s="1"/>
  <c r="BA26" i="23"/>
  <c r="BA46" i="23" s="1"/>
  <c r="BA47" i="23" s="1"/>
  <c r="AR50" i="23"/>
  <c r="AS50" i="23" s="1"/>
  <c r="AT50" i="23" s="1"/>
  <c r="AU50" i="23" s="1"/>
  <c r="AV50" i="23" s="1"/>
  <c r="AW50" i="23" s="1"/>
  <c r="AX50" i="23" s="1"/>
  <c r="AY50" i="23" s="1"/>
  <c r="AZ50" i="23" s="1"/>
  <c r="AR49" i="23"/>
  <c r="AZ40" i="23"/>
  <c r="AY40" i="23"/>
  <c r="AX40" i="23"/>
  <c r="AW40" i="23"/>
  <c r="AV40" i="23"/>
  <c r="AU40" i="23"/>
  <c r="AT40" i="23"/>
  <c r="AS40" i="23"/>
  <c r="AR40" i="23"/>
  <c r="AZ39" i="23"/>
  <c r="AY39" i="23"/>
  <c r="AX39" i="23"/>
  <c r="AW39" i="23"/>
  <c r="AV39" i="23"/>
  <c r="AU39" i="23"/>
  <c r="AU43" i="23" s="1"/>
  <c r="AT39" i="23"/>
  <c r="AT43" i="23" s="1"/>
  <c r="AS39" i="23"/>
  <c r="AS43" i="23" s="1"/>
  <c r="AR39" i="23"/>
  <c r="AR43" i="23" s="1"/>
  <c r="AZ38" i="23"/>
  <c r="AZ43" i="23" s="1"/>
  <c r="AY38" i="23"/>
  <c r="AY43" i="23" s="1"/>
  <c r="AX38" i="23"/>
  <c r="AX43" i="23" s="1"/>
  <c r="AW38" i="23"/>
  <c r="AV38" i="23"/>
  <c r="AU38" i="23"/>
  <c r="AT38" i="23"/>
  <c r="AS38" i="23"/>
  <c r="AR38" i="23"/>
  <c r="AR31" i="23"/>
  <c r="AR30" i="23"/>
  <c r="AR28" i="23"/>
  <c r="AS28" i="23" s="1"/>
  <c r="AT28" i="23" s="1"/>
  <c r="AU28" i="23" s="1"/>
  <c r="AV28" i="23" s="1"/>
  <c r="AW28" i="23" s="1"/>
  <c r="AX28" i="23" s="1"/>
  <c r="AY28" i="23" s="1"/>
  <c r="AZ28" i="23" s="1"/>
  <c r="AR27" i="23"/>
  <c r="AR29" i="23" s="1"/>
  <c r="AR26" i="23"/>
  <c r="AR46" i="23" s="1"/>
  <c r="AR47" i="23" s="1"/>
  <c r="AQ31" i="23"/>
  <c r="AP31" i="23"/>
  <c r="AQ51" i="23"/>
  <c r="AP51" i="23"/>
  <c r="AP50" i="23"/>
  <c r="AQ50" i="23" s="1"/>
  <c r="AP49" i="23"/>
  <c r="AQ40" i="23"/>
  <c r="AQ43" i="23" s="1"/>
  <c r="AP40" i="23"/>
  <c r="AP43" i="23" s="1"/>
  <c r="AQ39" i="23"/>
  <c r="AP39" i="23"/>
  <c r="AQ38" i="23"/>
  <c r="AP38" i="23"/>
  <c r="AP28" i="23"/>
  <c r="AQ28" i="23" s="1"/>
  <c r="AP27" i="23"/>
  <c r="AQ27" i="23" s="1"/>
  <c r="AP26" i="23"/>
  <c r="AP46" i="23" s="1"/>
  <c r="AP47" i="23" s="1"/>
  <c r="AC57" i="23"/>
  <c r="AC50" i="23"/>
  <c r="AD50" i="23" s="1"/>
  <c r="AC49" i="23"/>
  <c r="AC51" i="23" s="1"/>
  <c r="AC52" i="23" s="1"/>
  <c r="AC46" i="23"/>
  <c r="AC47" i="23" s="1"/>
  <c r="AD40" i="23"/>
  <c r="AC40" i="23"/>
  <c r="AD39" i="23"/>
  <c r="AC39" i="23"/>
  <c r="AD38" i="23"/>
  <c r="AD43" i="23" s="1"/>
  <c r="AC38" i="23"/>
  <c r="AC43" i="23" s="1"/>
  <c r="AC30" i="23"/>
  <c r="AC29" i="23"/>
  <c r="AC58" i="23" s="1"/>
  <c r="AC28" i="23"/>
  <c r="AD28" i="23" s="1"/>
  <c r="AC27" i="23"/>
  <c r="AC31" i="23" s="1"/>
  <c r="AC26" i="23"/>
  <c r="AD26" i="23" s="1"/>
  <c r="AD46" i="23" s="1"/>
  <c r="AD47" i="23" s="1"/>
  <c r="Y38" i="23"/>
  <c r="Y39" i="23"/>
  <c r="Y40" i="23"/>
  <c r="Y43" i="23"/>
  <c r="AA38" i="23"/>
  <c r="AA39" i="23"/>
  <c r="AA40" i="23"/>
  <c r="B56" i="23"/>
  <c r="B57" i="23"/>
  <c r="B13" i="23"/>
  <c r="B30" i="23"/>
  <c r="BA31" i="23" l="1"/>
  <c r="BA51" i="23" s="1"/>
  <c r="BA52" i="23" s="1"/>
  <c r="BA29" i="23"/>
  <c r="AR58" i="23"/>
  <c r="AR57" i="23"/>
  <c r="AR56" i="23"/>
  <c r="AR51" i="23"/>
  <c r="AR52" i="23" s="1"/>
  <c r="AS49" i="23"/>
  <c r="AW43" i="23"/>
  <c r="AV43" i="23"/>
  <c r="AS26" i="23"/>
  <c r="AS27" i="23"/>
  <c r="AQ30" i="23"/>
  <c r="AQ29" i="23"/>
  <c r="AQ26" i="23"/>
  <c r="AQ46" i="23" s="1"/>
  <c r="AQ47" i="23" s="1"/>
  <c r="AP29" i="23"/>
  <c r="AP30" i="23"/>
  <c r="AP52" i="23"/>
  <c r="AQ49" i="23"/>
  <c r="AQ52" i="23" s="1"/>
  <c r="AC60" i="23"/>
  <c r="AC71" i="23" s="1"/>
  <c r="AC72" i="23" s="1"/>
  <c r="AC64" i="23"/>
  <c r="AC53" i="23"/>
  <c r="AC56" i="23"/>
  <c r="AD27" i="23"/>
  <c r="AD49" i="23"/>
  <c r="AA43" i="23"/>
  <c r="B40" i="23"/>
  <c r="C40" i="23"/>
  <c r="AH31" i="23"/>
  <c r="B50" i="23"/>
  <c r="C36" i="23"/>
  <c r="D36" i="23"/>
  <c r="E36" i="23"/>
  <c r="F36" i="23"/>
  <c r="G36" i="23"/>
  <c r="H36" i="23"/>
  <c r="I36" i="23"/>
  <c r="B36" i="23"/>
  <c r="B10" i="23"/>
  <c r="I42" i="23"/>
  <c r="H42" i="23"/>
  <c r="G42" i="23"/>
  <c r="F42" i="23"/>
  <c r="E42" i="23"/>
  <c r="D42" i="23"/>
  <c r="C42" i="23"/>
  <c r="B58" i="23"/>
  <c r="B9" i="23"/>
  <c r="BA64" i="23" l="1"/>
  <c r="BA53" i="23"/>
  <c r="BA57" i="23"/>
  <c r="BA56" i="23"/>
  <c r="BA58" i="23"/>
  <c r="AT27" i="23"/>
  <c r="AS31" i="23"/>
  <c r="AS30" i="23"/>
  <c r="AS29" i="23"/>
  <c r="AR64" i="23"/>
  <c r="AR53" i="23"/>
  <c r="AR61" i="23" s="1"/>
  <c r="AS46" i="23"/>
  <c r="AS47" i="23" s="1"/>
  <c r="AT26" i="23"/>
  <c r="AT49" i="23"/>
  <c r="AS51" i="23"/>
  <c r="AS52" i="23" s="1"/>
  <c r="AP64" i="23"/>
  <c r="AP53" i="23"/>
  <c r="AQ64" i="23"/>
  <c r="AQ53" i="23"/>
  <c r="AP57" i="23"/>
  <c r="AP58" i="23"/>
  <c r="AP56" i="23"/>
  <c r="AQ56" i="23"/>
  <c r="AQ58" i="23"/>
  <c r="AQ57" i="23"/>
  <c r="AC59" i="23"/>
  <c r="AC61" i="23" s="1"/>
  <c r="AD31" i="23"/>
  <c r="AD51" i="23" s="1"/>
  <c r="AD52" i="23" s="1"/>
  <c r="AD30" i="23"/>
  <c r="AD29" i="23"/>
  <c r="O36" i="23"/>
  <c r="C50" i="23"/>
  <c r="D50" i="23" s="1"/>
  <c r="E50" i="23" s="1"/>
  <c r="F50" i="23" s="1"/>
  <c r="G50" i="23" s="1"/>
  <c r="H50" i="23" s="1"/>
  <c r="I50" i="23" s="1"/>
  <c r="J50" i="23" s="1"/>
  <c r="K50" i="23" s="1"/>
  <c r="L50" i="23" s="1"/>
  <c r="M50" i="23" s="1"/>
  <c r="N50" i="23" s="1"/>
  <c r="P50" i="23" s="1"/>
  <c r="AE39" i="23"/>
  <c r="AF39" i="23"/>
  <c r="AG39" i="23"/>
  <c r="AI39" i="23"/>
  <c r="AJ39" i="23"/>
  <c r="AK39" i="23"/>
  <c r="AL39" i="23"/>
  <c r="AM39" i="23"/>
  <c r="AN39" i="23"/>
  <c r="AO41" i="23"/>
  <c r="P39" i="23"/>
  <c r="Q39" i="23"/>
  <c r="R39" i="23"/>
  <c r="S39" i="23"/>
  <c r="T39" i="23"/>
  <c r="U39" i="23"/>
  <c r="V39" i="23"/>
  <c r="W39" i="23"/>
  <c r="X39" i="23"/>
  <c r="Z39" i="23"/>
  <c r="B31" i="23"/>
  <c r="AH38" i="23"/>
  <c r="BA61" i="23" l="1"/>
  <c r="AU49" i="23"/>
  <c r="AR65" i="23"/>
  <c r="AR67" i="23" s="1"/>
  <c r="AR63" i="23"/>
  <c r="AR62" i="23"/>
  <c r="AR66" i="23" s="1"/>
  <c r="AS56" i="23"/>
  <c r="AS57" i="23"/>
  <c r="AS58" i="23"/>
  <c r="AS64" i="23"/>
  <c r="AS53" i="23"/>
  <c r="AS61" i="23" s="1"/>
  <c r="AU26" i="23"/>
  <c r="AT46" i="23"/>
  <c r="AT47" i="23" s="1"/>
  <c r="AT31" i="23"/>
  <c r="AT51" i="23" s="1"/>
  <c r="AT52" i="23" s="1"/>
  <c r="AT30" i="23"/>
  <c r="AT29" i="23"/>
  <c r="AU27" i="23"/>
  <c r="AQ61" i="23"/>
  <c r="AP61" i="23"/>
  <c r="AD60" i="23"/>
  <c r="AD71" i="23" s="1"/>
  <c r="AD72" i="23" s="1"/>
  <c r="AD64" i="23"/>
  <c r="AD53" i="23"/>
  <c r="AC65" i="23"/>
  <c r="AC67" i="23" s="1"/>
  <c r="AC63" i="23"/>
  <c r="AC62" i="23"/>
  <c r="AC66" i="23" s="1"/>
  <c r="AC68" i="23" s="1"/>
  <c r="AD57" i="23"/>
  <c r="AD58" i="23"/>
  <c r="AD56" i="23"/>
  <c r="Q50" i="23"/>
  <c r="R50" i="23" s="1"/>
  <c r="S50" i="23" s="1"/>
  <c r="T50" i="23" s="1"/>
  <c r="U50" i="23" s="1"/>
  <c r="V50" i="23" s="1"/>
  <c r="W50" i="23" s="1"/>
  <c r="X50" i="23" s="1"/>
  <c r="Y50" i="23" s="1"/>
  <c r="AG38" i="23"/>
  <c r="V38" i="23"/>
  <c r="AN38" i="23"/>
  <c r="T38" i="23"/>
  <c r="S38" i="23"/>
  <c r="AK38" i="23"/>
  <c r="AF38" i="23"/>
  <c r="AE38" i="23"/>
  <c r="Z38" i="23"/>
  <c r="R38" i="23"/>
  <c r="AJ38" i="23"/>
  <c r="U38" i="23"/>
  <c r="AM38" i="23"/>
  <c r="AL38" i="23"/>
  <c r="Q38" i="23"/>
  <c r="AI38" i="23"/>
  <c r="W38" i="23"/>
  <c r="X38" i="23"/>
  <c r="P38" i="23"/>
  <c r="C49" i="23"/>
  <c r="BA65" i="23" l="1"/>
  <c r="BA67" i="23" s="1"/>
  <c r="BA62" i="23"/>
  <c r="BA66" i="23" s="1"/>
  <c r="BA63" i="23"/>
  <c r="AT53" i="23"/>
  <c r="AT64" i="23"/>
  <c r="AU30" i="23"/>
  <c r="AU31" i="23"/>
  <c r="AU51" i="23" s="1"/>
  <c r="AU52" i="23" s="1"/>
  <c r="AU29" i="23"/>
  <c r="AV27" i="23"/>
  <c r="AU46" i="23"/>
  <c r="AU47" i="23" s="1"/>
  <c r="AV26" i="23"/>
  <c r="AT56" i="23"/>
  <c r="AT57" i="23"/>
  <c r="AT58" i="23"/>
  <c r="AS65" i="23"/>
  <c r="AS67" i="23" s="1"/>
  <c r="AS63" i="23"/>
  <c r="AS62" i="23"/>
  <c r="AS66" i="23" s="1"/>
  <c r="AV49" i="23"/>
  <c r="AP62" i="23"/>
  <c r="AP66" i="23" s="1"/>
  <c r="AP65" i="23"/>
  <c r="AP67" i="23" s="1"/>
  <c r="AP63" i="23"/>
  <c r="AQ62" i="23"/>
  <c r="AQ66" i="23" s="1"/>
  <c r="AQ65" i="23"/>
  <c r="AQ67" i="23" s="1"/>
  <c r="AQ63" i="23"/>
  <c r="AD59" i="23"/>
  <c r="AD61" i="23"/>
  <c r="Z50" i="23"/>
  <c r="AA50" i="23" s="1"/>
  <c r="AE50" i="23" s="1"/>
  <c r="AF50" i="23" s="1"/>
  <c r="AG50" i="23" s="1"/>
  <c r="AH50" i="23" s="1"/>
  <c r="AI50" i="23" s="1"/>
  <c r="AJ50" i="23" s="1"/>
  <c r="AK50" i="23" s="1"/>
  <c r="AL50" i="23" s="1"/>
  <c r="AM50" i="23" s="1"/>
  <c r="AN50" i="23" s="1"/>
  <c r="AO38" i="23"/>
  <c r="D49" i="23"/>
  <c r="AW49" i="23" l="1"/>
  <c r="AV46" i="23"/>
  <c r="AV47" i="23" s="1"/>
  <c r="AW26" i="23"/>
  <c r="AV31" i="23"/>
  <c r="AV51" i="23" s="1"/>
  <c r="AV52" i="23" s="1"/>
  <c r="AW27" i="23"/>
  <c r="AV30" i="23"/>
  <c r="AV29" i="23"/>
  <c r="AU64" i="23"/>
  <c r="AU53" i="23"/>
  <c r="AU57" i="23"/>
  <c r="AU58" i="23"/>
  <c r="AU56" i="23"/>
  <c r="AT61" i="23"/>
  <c r="AD65" i="23"/>
  <c r="AD67" i="23" s="1"/>
  <c r="AD63" i="23"/>
  <c r="AD62" i="23"/>
  <c r="AD66" i="23" s="1"/>
  <c r="AD68" i="23" s="1"/>
  <c r="E49" i="23"/>
  <c r="AV53" i="23" l="1"/>
  <c r="AV64" i="23"/>
  <c r="AU61" i="23"/>
  <c r="AV56" i="23"/>
  <c r="AV57" i="23"/>
  <c r="AV58" i="23"/>
  <c r="AW30" i="23"/>
  <c r="AW31" i="23"/>
  <c r="AX27" i="23"/>
  <c r="AW29" i="23"/>
  <c r="AT65" i="23"/>
  <c r="AT67" i="23" s="1"/>
  <c r="AT62" i="23"/>
  <c r="AT66" i="23" s="1"/>
  <c r="AT63" i="23"/>
  <c r="AX26" i="23"/>
  <c r="AW46" i="23"/>
  <c r="AW47" i="23" s="1"/>
  <c r="AW51" i="23"/>
  <c r="AW52" i="23" s="1"/>
  <c r="AX49" i="23"/>
  <c r="F49" i="23"/>
  <c r="AW56" i="23" l="1"/>
  <c r="AW57" i="23"/>
  <c r="AW58" i="23"/>
  <c r="AW64" i="23"/>
  <c r="AW53" i="23"/>
  <c r="AY26" i="23"/>
  <c r="AX46" i="23"/>
  <c r="AX47" i="23" s="1"/>
  <c r="AX30" i="23"/>
  <c r="AY27" i="23"/>
  <c r="AX31" i="23"/>
  <c r="AX29" i="23"/>
  <c r="AU65" i="23"/>
  <c r="AU67" i="23" s="1"/>
  <c r="AU63" i="23"/>
  <c r="AU62" i="23"/>
  <c r="AU66" i="23" s="1"/>
  <c r="AY49" i="23"/>
  <c r="AX51" i="23"/>
  <c r="AX52" i="23" s="1"/>
  <c r="AV61" i="23"/>
  <c r="G49" i="23"/>
  <c r="AX53" i="23" l="1"/>
  <c r="AX64" i="23"/>
  <c r="AZ49" i="23"/>
  <c r="AY30" i="23"/>
  <c r="AY31" i="23"/>
  <c r="AY51" i="23" s="1"/>
  <c r="AY52" i="23" s="1"/>
  <c r="AZ27" i="23"/>
  <c r="AY29" i="23"/>
  <c r="AX58" i="23"/>
  <c r="AX57" i="23"/>
  <c r="AX56" i="23"/>
  <c r="AY46" i="23"/>
  <c r="AY47" i="23" s="1"/>
  <c r="AZ26" i="23"/>
  <c r="AZ46" i="23" s="1"/>
  <c r="AZ47" i="23" s="1"/>
  <c r="AW61" i="23"/>
  <c r="AV63" i="23"/>
  <c r="AV62" i="23"/>
  <c r="AV66" i="23" s="1"/>
  <c r="AV65" i="23"/>
  <c r="AV67" i="23" s="1"/>
  <c r="H49" i="23"/>
  <c r="AY53" i="23" l="1"/>
  <c r="AY61" i="23" s="1"/>
  <c r="AY64" i="23"/>
  <c r="AY57" i="23"/>
  <c r="AY56" i="23"/>
  <c r="AY58" i="23"/>
  <c r="AW63" i="23"/>
  <c r="AW65" i="23"/>
  <c r="AW67" i="23" s="1"/>
  <c r="AW62" i="23"/>
  <c r="AW66" i="23" s="1"/>
  <c r="AZ29" i="23"/>
  <c r="AZ31" i="23"/>
  <c r="AZ51" i="23" s="1"/>
  <c r="AZ52" i="23" s="1"/>
  <c r="AZ30" i="23"/>
  <c r="AX61" i="23"/>
  <c r="I49" i="23"/>
  <c r="AZ64" i="23" l="1"/>
  <c r="AZ53" i="23"/>
  <c r="BB53" i="23" s="1"/>
  <c r="AX65" i="23"/>
  <c r="AX67" i="23" s="1"/>
  <c r="AX62" i="23"/>
  <c r="AX66" i="23" s="1"/>
  <c r="AX63" i="23"/>
  <c r="AZ58" i="23"/>
  <c r="AZ57" i="23"/>
  <c r="AZ56" i="23"/>
  <c r="AY63" i="23"/>
  <c r="AY62" i="23"/>
  <c r="AY66" i="23" s="1"/>
  <c r="AY65" i="23"/>
  <c r="AY67" i="23" s="1"/>
  <c r="J49" i="23"/>
  <c r="AZ61" i="23" l="1"/>
  <c r="K49" i="23"/>
  <c r="AZ62" i="23" l="1"/>
  <c r="AZ66" i="23" s="1"/>
  <c r="AZ65" i="23"/>
  <c r="AZ67" i="23" s="1"/>
  <c r="AZ63" i="23"/>
  <c r="L49" i="23"/>
  <c r="M49" i="23" l="1"/>
  <c r="N49" i="23" l="1"/>
  <c r="P49" i="23" s="1"/>
  <c r="Q49" i="23" l="1"/>
  <c r="R49" i="23" s="1"/>
  <c r="S49" i="23" s="1"/>
  <c r="T49" i="23" s="1"/>
  <c r="U49" i="23" s="1"/>
  <c r="V49" i="23" s="1"/>
  <c r="W49" i="23" s="1"/>
  <c r="X49" i="23" s="1"/>
  <c r="Y49" i="23" s="1"/>
  <c r="B39" i="23"/>
  <c r="J38" i="23"/>
  <c r="K38" i="23"/>
  <c r="L38" i="23"/>
  <c r="M38" i="23"/>
  <c r="N38" i="23"/>
  <c r="D39" i="23"/>
  <c r="E39" i="23"/>
  <c r="F39" i="23"/>
  <c r="G39" i="23"/>
  <c r="H39" i="23"/>
  <c r="I39" i="23"/>
  <c r="J39" i="23"/>
  <c r="K39" i="23"/>
  <c r="L39" i="23"/>
  <c r="M39" i="23"/>
  <c r="N39" i="23"/>
  <c r="B42" i="23"/>
  <c r="B36" i="20"/>
  <c r="B35" i="20"/>
  <c r="E19" i="20"/>
  <c r="E18" i="20"/>
  <c r="E17" i="20"/>
  <c r="B28" i="20"/>
  <c r="B18" i="20"/>
  <c r="B17" i="20"/>
  <c r="B19" i="20"/>
  <c r="F70" i="20"/>
  <c r="F67" i="20"/>
  <c r="C27" i="23"/>
  <c r="C31" i="23" s="1"/>
  <c r="F28" i="20"/>
  <c r="B9" i="20"/>
  <c r="B8" i="20"/>
  <c r="B29" i="20" s="1"/>
  <c r="B7" i="20"/>
  <c r="C12" i="15"/>
  <c r="C4" i="15"/>
  <c r="C39" i="23"/>
  <c r="B28" i="23"/>
  <c r="C28" i="23" s="1"/>
  <c r="D28" i="23" s="1"/>
  <c r="E28" i="23" s="1"/>
  <c r="F28" i="23" s="1"/>
  <c r="G28" i="23" s="1"/>
  <c r="H28" i="23" s="1"/>
  <c r="I28" i="23" s="1"/>
  <c r="J28" i="23" s="1"/>
  <c r="K28" i="23" s="1"/>
  <c r="L28" i="23" s="1"/>
  <c r="M28" i="23" s="1"/>
  <c r="N28" i="23" s="1"/>
  <c r="P28" i="23" s="1"/>
  <c r="B26" i="23"/>
  <c r="B46" i="23" s="1"/>
  <c r="Q28" i="23" l="1"/>
  <c r="R28" i="23" s="1"/>
  <c r="S28" i="23" s="1"/>
  <c r="T28" i="23" s="1"/>
  <c r="U28" i="23" s="1"/>
  <c r="V28" i="23" s="1"/>
  <c r="W28" i="23" s="1"/>
  <c r="X28" i="23" s="1"/>
  <c r="Y28" i="23" s="1"/>
  <c r="C51" i="23"/>
  <c r="C52" i="23" s="1"/>
  <c r="B43" i="23"/>
  <c r="B47" i="23"/>
  <c r="C26" i="23"/>
  <c r="AE40" i="23"/>
  <c r="E40" i="23"/>
  <c r="E43" i="23" s="1"/>
  <c r="AM40" i="23"/>
  <c r="T40" i="23"/>
  <c r="T43" i="23" s="1"/>
  <c r="AG40" i="23"/>
  <c r="G40" i="23"/>
  <c r="G43" i="23" s="1"/>
  <c r="L40" i="23"/>
  <c r="D40" i="23"/>
  <c r="D43" i="23" s="1"/>
  <c r="D27" i="23"/>
  <c r="F27" i="20"/>
  <c r="B27" i="20"/>
  <c r="B30" i="20"/>
  <c r="F30" i="20"/>
  <c r="B29" i="23"/>
  <c r="E11" i="8"/>
  <c r="B31" i="8"/>
  <c r="O31" i="20"/>
  <c r="B26" i="8"/>
  <c r="E5" i="22" s="1"/>
  <c r="F5" i="22" s="1"/>
  <c r="E10" i="22"/>
  <c r="E9" i="22"/>
  <c r="B6" i="8"/>
  <c r="F32" i="22"/>
  <c r="F31" i="22"/>
  <c r="F30" i="22"/>
  <c r="F29" i="22"/>
  <c r="F28" i="22"/>
  <c r="E27" i="22"/>
  <c r="F27" i="22" s="1"/>
  <c r="F26" i="22"/>
  <c r="F25" i="22"/>
  <c r="F24" i="22"/>
  <c r="F23" i="22"/>
  <c r="F22" i="22"/>
  <c r="E21" i="22"/>
  <c r="F21" i="22" s="1"/>
  <c r="F20" i="22"/>
  <c r="F19" i="22"/>
  <c r="F18" i="22"/>
  <c r="F17" i="22"/>
  <c r="E16" i="22"/>
  <c r="F16" i="22" s="1"/>
  <c r="F15" i="22"/>
  <c r="F14" i="22"/>
  <c r="F13" i="22"/>
  <c r="F12" i="22"/>
  <c r="E11" i="22"/>
  <c r="F11" i="22" s="1"/>
  <c r="F10" i="22"/>
  <c r="F9" i="22"/>
  <c r="E8" i="22"/>
  <c r="F8" i="22" s="1"/>
  <c r="F29" i="20"/>
  <c r="G27" i="20"/>
  <c r="N39" i="20"/>
  <c r="N40" i="20" s="1"/>
  <c r="N55" i="20" s="1"/>
  <c r="M39" i="20"/>
  <c r="M40" i="20" s="1"/>
  <c r="M55" i="20" s="1"/>
  <c r="L39" i="20"/>
  <c r="L40" i="20" s="1"/>
  <c r="L55" i="20" s="1"/>
  <c r="K39" i="20"/>
  <c r="K40" i="20" s="1"/>
  <c r="K55" i="20" s="1"/>
  <c r="J39" i="20"/>
  <c r="J40" i="20" s="1"/>
  <c r="J55" i="20" s="1"/>
  <c r="I39" i="20"/>
  <c r="I40" i="20" s="1"/>
  <c r="I55" i="20" s="1"/>
  <c r="H39" i="20"/>
  <c r="H40" i="20" s="1"/>
  <c r="H55" i="20" s="1"/>
  <c r="G40" i="20"/>
  <c r="G55" i="20" s="1"/>
  <c r="F40" i="20"/>
  <c r="F55" i="20" s="1"/>
  <c r="E40" i="20"/>
  <c r="E55" i="20" s="1"/>
  <c r="D40" i="20"/>
  <c r="D55" i="20" s="1"/>
  <c r="C40" i="20"/>
  <c r="C55" i="20" s="1"/>
  <c r="B40" i="20"/>
  <c r="O32" i="20"/>
  <c r="H29" i="20"/>
  <c r="N28" i="20"/>
  <c r="M28" i="20"/>
  <c r="L28" i="20"/>
  <c r="K28" i="20"/>
  <c r="J28" i="20"/>
  <c r="I28" i="20"/>
  <c r="H28" i="20"/>
  <c r="G28" i="20"/>
  <c r="E28" i="20"/>
  <c r="D28" i="20"/>
  <c r="C28" i="20"/>
  <c r="C19" i="20"/>
  <c r="D19" i="20" s="1"/>
  <c r="F19" i="20" s="1"/>
  <c r="G19" i="20" s="1"/>
  <c r="H19" i="20" s="1"/>
  <c r="I19" i="20" s="1"/>
  <c r="J19" i="20" s="1"/>
  <c r="K19" i="20" s="1"/>
  <c r="L19" i="20" s="1"/>
  <c r="M19" i="20" s="1"/>
  <c r="N19" i="20" s="1"/>
  <c r="B20" i="20"/>
  <c r="C17" i="20"/>
  <c r="D17" i="20" s="1"/>
  <c r="F17" i="20" s="1"/>
  <c r="G17" i="20" s="1"/>
  <c r="H17" i="20" s="1"/>
  <c r="I17" i="20" s="1"/>
  <c r="J17" i="20" s="1"/>
  <c r="K17" i="20" s="1"/>
  <c r="L17" i="20" s="1"/>
  <c r="M17" i="20" s="1"/>
  <c r="N17" i="20" s="1"/>
  <c r="E10" i="18"/>
  <c r="F10" i="18" s="1"/>
  <c r="E7" i="18"/>
  <c r="F7" i="18" s="1"/>
  <c r="E6" i="18"/>
  <c r="F3" i="18"/>
  <c r="F4" i="18"/>
  <c r="F6" i="18"/>
  <c r="F9" i="18"/>
  <c r="F11" i="18"/>
  <c r="F12" i="18"/>
  <c r="F13" i="18"/>
  <c r="F15" i="18"/>
  <c r="F16" i="18"/>
  <c r="F17" i="18"/>
  <c r="F18" i="18"/>
  <c r="F20" i="18"/>
  <c r="F21" i="18"/>
  <c r="F22" i="18"/>
  <c r="F23" i="18"/>
  <c r="F24" i="18"/>
  <c r="F25" i="18"/>
  <c r="F26" i="18"/>
  <c r="F27" i="18"/>
  <c r="F28" i="18"/>
  <c r="F29" i="18"/>
  <c r="F30" i="18"/>
  <c r="F31" i="18"/>
  <c r="F32" i="18"/>
  <c r="F33" i="18"/>
  <c r="F34" i="18"/>
  <c r="F35" i="18"/>
  <c r="E30" i="18"/>
  <c r="E24" i="18"/>
  <c r="E19" i="18"/>
  <c r="F19" i="18" s="1"/>
  <c r="E14" i="18"/>
  <c r="F14" i="18" s="1"/>
  <c r="E11" i="18"/>
  <c r="E8" i="18"/>
  <c r="F8" i="18" s="1"/>
  <c r="E2" i="18"/>
  <c r="F2" i="18" s="1"/>
  <c r="C19" i="15"/>
  <c r="Z28" i="23" l="1"/>
  <c r="AA28" i="23" s="1"/>
  <c r="AE28" i="23" s="1"/>
  <c r="AF28" i="23" s="1"/>
  <c r="AG28" i="23" s="1"/>
  <c r="AH28" i="23" s="1"/>
  <c r="AI28" i="23" s="1"/>
  <c r="AJ28" i="23" s="1"/>
  <c r="AK28" i="23" s="1"/>
  <c r="AL28" i="23" s="1"/>
  <c r="AM28" i="23" s="1"/>
  <c r="AN28" i="23" s="1"/>
  <c r="Z49" i="23"/>
  <c r="AA49" i="23" s="1"/>
  <c r="AE49" i="23" s="1"/>
  <c r="AF49" i="23" s="1"/>
  <c r="AG49" i="23" s="1"/>
  <c r="AH49" i="23" s="1"/>
  <c r="C53" i="23"/>
  <c r="C60" i="23"/>
  <c r="C71" i="23" s="1"/>
  <c r="C72" i="23" s="1"/>
  <c r="D26" i="23"/>
  <c r="C46" i="23"/>
  <c r="C47" i="23" s="1"/>
  <c r="C43" i="23"/>
  <c r="H40" i="23"/>
  <c r="H43" i="23" s="1"/>
  <c r="AJ40" i="23"/>
  <c r="AJ43" i="23" s="1"/>
  <c r="J40" i="23"/>
  <c r="J43" i="23" s="1"/>
  <c r="AH40" i="23"/>
  <c r="F40" i="23"/>
  <c r="F43" i="23" s="1"/>
  <c r="V40" i="23"/>
  <c r="V43" i="23" s="1"/>
  <c r="P40" i="23"/>
  <c r="P43" i="23" s="1"/>
  <c r="AI40" i="23"/>
  <c r="AI43" i="23" s="1"/>
  <c r="S40" i="23"/>
  <c r="S43" i="23" s="1"/>
  <c r="U40" i="23"/>
  <c r="U43" i="23" s="1"/>
  <c r="AL40" i="23"/>
  <c r="AL43" i="23" s="1"/>
  <c r="AN40" i="23"/>
  <c r="AN43" i="23" s="1"/>
  <c r="AF40" i="23"/>
  <c r="AF43" i="23" s="1"/>
  <c r="Z40" i="23"/>
  <c r="Z43" i="23" s="1"/>
  <c r="M40" i="23"/>
  <c r="M43" i="23" s="1"/>
  <c r="Q40" i="23"/>
  <c r="Q43" i="23" s="1"/>
  <c r="R40" i="23"/>
  <c r="R43" i="23" s="1"/>
  <c r="I40" i="23"/>
  <c r="I43" i="23" s="1"/>
  <c r="X40" i="23"/>
  <c r="X43" i="23" s="1"/>
  <c r="AK40" i="23"/>
  <c r="AK43" i="23" s="1"/>
  <c r="K40" i="23"/>
  <c r="K43" i="23" s="1"/>
  <c r="W40" i="23"/>
  <c r="W43" i="23" s="1"/>
  <c r="N40" i="23"/>
  <c r="N43" i="23" s="1"/>
  <c r="D31" i="23"/>
  <c r="D51" i="23" s="1"/>
  <c r="D52" i="23" s="1"/>
  <c r="E27" i="23"/>
  <c r="AM43" i="23"/>
  <c r="AE43" i="23"/>
  <c r="AG43" i="23"/>
  <c r="N30" i="20"/>
  <c r="M30" i="20"/>
  <c r="J30" i="20"/>
  <c r="I30" i="20"/>
  <c r="L30" i="20"/>
  <c r="K30" i="20"/>
  <c r="C30" i="23"/>
  <c r="L43" i="23"/>
  <c r="C29" i="23"/>
  <c r="H30" i="20"/>
  <c r="G30" i="20"/>
  <c r="D30" i="20"/>
  <c r="C30" i="20"/>
  <c r="G29" i="20"/>
  <c r="G36" i="20" s="1"/>
  <c r="E4" i="22"/>
  <c r="F4" i="22" s="1"/>
  <c r="J29" i="20"/>
  <c r="I29" i="20"/>
  <c r="O28" i="20"/>
  <c r="O39" i="20"/>
  <c r="C27" i="20"/>
  <c r="D27" i="20"/>
  <c r="B55" i="20"/>
  <c r="C18" i="20"/>
  <c r="C21" i="20" s="1"/>
  <c r="C42" i="20" s="1"/>
  <c r="B22" i="20"/>
  <c r="E27" i="20"/>
  <c r="K29" i="20"/>
  <c r="B21" i="20"/>
  <c r="H27" i="20"/>
  <c r="H36" i="20" s="1"/>
  <c r="N29" i="20"/>
  <c r="I27" i="20"/>
  <c r="J27" i="20"/>
  <c r="L27" i="20"/>
  <c r="M29" i="20"/>
  <c r="M27" i="20"/>
  <c r="C29" i="20"/>
  <c r="L29" i="20"/>
  <c r="K27" i="20"/>
  <c r="N27" i="20"/>
  <c r="D29" i="20"/>
  <c r="E29" i="20"/>
  <c r="E5" i="18"/>
  <c r="F5" i="18" s="1"/>
  <c r="C10" i="15"/>
  <c r="B27" i="8"/>
  <c r="E7" i="22" s="1"/>
  <c r="AI49" i="23" l="1"/>
  <c r="AJ49" i="23" s="1"/>
  <c r="AK49" i="23" s="1"/>
  <c r="AH51" i="23"/>
  <c r="C57" i="23"/>
  <c r="C56" i="23"/>
  <c r="C59" i="23"/>
  <c r="C58" i="23"/>
  <c r="C61" i="23" s="1"/>
  <c r="E26" i="23"/>
  <c r="D46" i="23"/>
  <c r="D47" i="23" s="1"/>
  <c r="AL49" i="23"/>
  <c r="O43" i="23"/>
  <c r="B78" i="23" s="1"/>
  <c r="D53" i="23"/>
  <c r="D60" i="23"/>
  <c r="AO40" i="23"/>
  <c r="E31" i="23"/>
  <c r="E51" i="23" s="1"/>
  <c r="E52" i="23" s="1"/>
  <c r="E36" i="20"/>
  <c r="C36" i="20"/>
  <c r="C43" i="20"/>
  <c r="B54" i="20"/>
  <c r="O30" i="20"/>
  <c r="D30" i="23"/>
  <c r="D29" i="23"/>
  <c r="E6" i="22"/>
  <c r="F6" i="22" s="1"/>
  <c r="F7" i="22"/>
  <c r="G54" i="20"/>
  <c r="F36" i="20"/>
  <c r="F54" i="20" s="1"/>
  <c r="O29" i="20"/>
  <c r="O27" i="20"/>
  <c r="D36" i="20"/>
  <c r="D54" i="20" s="1"/>
  <c r="C54" i="20"/>
  <c r="I36" i="20"/>
  <c r="I54" i="20" s="1"/>
  <c r="J36" i="20"/>
  <c r="J54" i="20" s="1"/>
  <c r="H54" i="20"/>
  <c r="M36" i="20"/>
  <c r="M54" i="20" s="1"/>
  <c r="E54" i="20"/>
  <c r="C22" i="20"/>
  <c r="C20" i="20"/>
  <c r="D18" i="20"/>
  <c r="L36" i="20"/>
  <c r="L54" i="20" s="1"/>
  <c r="N36" i="20"/>
  <c r="N54" i="20" s="1"/>
  <c r="K36" i="20"/>
  <c r="K54" i="20" s="1"/>
  <c r="F13" i="8"/>
  <c r="G13" i="8" s="1"/>
  <c r="B25" i="8"/>
  <c r="B24" i="8"/>
  <c r="C36" i="8"/>
  <c r="E36" i="8"/>
  <c r="D36" i="8"/>
  <c r="E7" i="8"/>
  <c r="D56" i="23" l="1"/>
  <c r="D57" i="23"/>
  <c r="D58" i="23"/>
  <c r="D59" i="23"/>
  <c r="D71" i="23"/>
  <c r="F26" i="23"/>
  <c r="E46" i="23"/>
  <c r="E47" i="23" s="1"/>
  <c r="C65" i="23"/>
  <c r="AM49" i="23"/>
  <c r="C62" i="23"/>
  <c r="D72" i="23"/>
  <c r="E53" i="23"/>
  <c r="E59" i="23" s="1"/>
  <c r="E60" i="23"/>
  <c r="E71" i="23" s="1"/>
  <c r="F27" i="23"/>
  <c r="F31" i="23" s="1"/>
  <c r="C44" i="20"/>
  <c r="B32" i="8"/>
  <c r="B57" i="20"/>
  <c r="E3" i="22"/>
  <c r="E8" i="8"/>
  <c r="E30" i="23"/>
  <c r="E29" i="23"/>
  <c r="B58" i="20"/>
  <c r="B63" i="20" s="1"/>
  <c r="E2" i="22"/>
  <c r="F2" i="22" s="1"/>
  <c r="F3" i="22"/>
  <c r="O36" i="20"/>
  <c r="D22" i="20"/>
  <c r="D20" i="20"/>
  <c r="D21" i="20"/>
  <c r="D42" i="20" s="1"/>
  <c r="D19" i="8"/>
  <c r="D21" i="8" s="1"/>
  <c r="E19" i="8"/>
  <c r="E21" i="8" s="1"/>
  <c r="C19" i="8"/>
  <c r="C21" i="8" s="1"/>
  <c r="D61" i="23" l="1"/>
  <c r="E56" i="23"/>
  <c r="E57" i="23"/>
  <c r="E58" i="23"/>
  <c r="C64" i="23"/>
  <c r="C67" i="23"/>
  <c r="G26" i="23"/>
  <c r="G46" i="23" s="1"/>
  <c r="F46" i="23"/>
  <c r="F47" i="23" s="1"/>
  <c r="C66" i="23"/>
  <c r="AN49" i="23"/>
  <c r="E72" i="23"/>
  <c r="D65" i="23"/>
  <c r="D67" i="23" s="1"/>
  <c r="D62" i="23"/>
  <c r="D63" i="23"/>
  <c r="C63" i="23"/>
  <c r="F51" i="23"/>
  <c r="F52" i="23" s="1"/>
  <c r="G27" i="23"/>
  <c r="G31" i="23" s="1"/>
  <c r="G51" i="23" s="1"/>
  <c r="G52" i="23" s="1"/>
  <c r="C47" i="20"/>
  <c r="C51" i="20" s="1"/>
  <c r="D43" i="20"/>
  <c r="F30" i="23"/>
  <c r="F29" i="23"/>
  <c r="B62" i="20"/>
  <c r="B59" i="20"/>
  <c r="E20" i="20"/>
  <c r="E21" i="20"/>
  <c r="E22" i="20"/>
  <c r="C20" i="8"/>
  <c r="D20" i="8" s="1"/>
  <c r="E20" i="8" s="1"/>
  <c r="F56" i="23" l="1"/>
  <c r="F57" i="23"/>
  <c r="F58" i="23"/>
  <c r="H26" i="23"/>
  <c r="G47" i="23"/>
  <c r="C68" i="23"/>
  <c r="G53" i="23"/>
  <c r="G59" i="23" s="1"/>
  <c r="G60" i="23"/>
  <c r="F53" i="23"/>
  <c r="F60" i="23"/>
  <c r="D66" i="23"/>
  <c r="D68" i="23" s="1"/>
  <c r="D64" i="23"/>
  <c r="E61" i="23"/>
  <c r="E42" i="20"/>
  <c r="E43" i="20" s="1"/>
  <c r="E44" i="20" s="1"/>
  <c r="E47" i="20" s="1"/>
  <c r="F21" i="20"/>
  <c r="F42" i="20" s="1"/>
  <c r="F44" i="20" s="1"/>
  <c r="E51" i="20"/>
  <c r="D44" i="20"/>
  <c r="D47" i="20" s="1"/>
  <c r="D51" i="20" s="1"/>
  <c r="D56" i="20" s="1"/>
  <c r="D58" i="20" s="1"/>
  <c r="G30" i="23"/>
  <c r="G29" i="23"/>
  <c r="H27" i="23"/>
  <c r="H31" i="23" s="1"/>
  <c r="H51" i="23" s="1"/>
  <c r="H52" i="23" s="1"/>
  <c r="B64" i="20"/>
  <c r="C57" i="20"/>
  <c r="F20" i="20"/>
  <c r="F48" i="20" s="1"/>
  <c r="F43" i="20"/>
  <c r="F22" i="20"/>
  <c r="G18" i="20"/>
  <c r="C56" i="20"/>
  <c r="C58" i="20" s="1"/>
  <c r="G56" i="23" l="1"/>
  <c r="G57" i="23"/>
  <c r="G58" i="23"/>
  <c r="F71" i="23"/>
  <c r="G71" i="23" s="1"/>
  <c r="F59" i="23"/>
  <c r="F61" i="23" s="1"/>
  <c r="F62" i="23" s="1"/>
  <c r="I26" i="23"/>
  <c r="H46" i="23"/>
  <c r="H47" i="23" s="1"/>
  <c r="H53" i="23"/>
  <c r="H59" i="23" s="1"/>
  <c r="H60" i="23"/>
  <c r="E65" i="23"/>
  <c r="E62" i="23"/>
  <c r="E63" i="23"/>
  <c r="F47" i="20"/>
  <c r="F51" i="20" s="1"/>
  <c r="G21" i="20"/>
  <c r="G42" i="20" s="1"/>
  <c r="H30" i="23"/>
  <c r="H29" i="23"/>
  <c r="I27" i="23"/>
  <c r="C62" i="20"/>
  <c r="G20" i="20"/>
  <c r="G43" i="20"/>
  <c r="G44" i="20" s="1"/>
  <c r="G22" i="20"/>
  <c r="H18" i="20"/>
  <c r="C63" i="20"/>
  <c r="C59" i="20"/>
  <c r="D63" i="20"/>
  <c r="H56" i="23" l="1"/>
  <c r="H57" i="23"/>
  <c r="H58" i="23"/>
  <c r="F72" i="23"/>
  <c r="J26" i="23"/>
  <c r="I46" i="23"/>
  <c r="I47" i="23" s="1"/>
  <c r="E67" i="23"/>
  <c r="H71" i="23"/>
  <c r="H72" i="23" s="1"/>
  <c r="G72" i="23"/>
  <c r="F65" i="23"/>
  <c r="F67" i="23" s="1"/>
  <c r="E64" i="23"/>
  <c r="E66" i="23"/>
  <c r="F64" i="23"/>
  <c r="F66" i="23"/>
  <c r="I31" i="23"/>
  <c r="I51" i="23" s="1"/>
  <c r="I52" i="23" s="1"/>
  <c r="I60" i="23" s="1"/>
  <c r="I29" i="23"/>
  <c r="F63" i="23"/>
  <c r="H22" i="20"/>
  <c r="H21" i="20"/>
  <c r="G47" i="20"/>
  <c r="G51" i="20" s="1"/>
  <c r="I30" i="23"/>
  <c r="J27" i="23"/>
  <c r="J31" i="23" s="1"/>
  <c r="J51" i="23" s="1"/>
  <c r="J52" i="23" s="1"/>
  <c r="F56" i="20"/>
  <c r="F58" i="20" s="1"/>
  <c r="D57" i="20"/>
  <c r="C64" i="20"/>
  <c r="I18" i="20"/>
  <c r="I21" i="20" s="1"/>
  <c r="H20" i="20"/>
  <c r="E56" i="20"/>
  <c r="E58" i="20" s="1"/>
  <c r="I56" i="23" l="1"/>
  <c r="I57" i="23"/>
  <c r="I58" i="23"/>
  <c r="E68" i="23"/>
  <c r="F68" i="23" s="1"/>
  <c r="K26" i="23"/>
  <c r="J46" i="23"/>
  <c r="J47" i="23" s="1"/>
  <c r="I71" i="23"/>
  <c r="I72" i="23" s="1"/>
  <c r="I53" i="23"/>
  <c r="J53" i="23"/>
  <c r="J60" i="23"/>
  <c r="G61" i="23"/>
  <c r="H42" i="20"/>
  <c r="J30" i="23"/>
  <c r="J29" i="23"/>
  <c r="K27" i="23"/>
  <c r="K31" i="23" s="1"/>
  <c r="K51" i="23" s="1"/>
  <c r="K52" i="23" s="1"/>
  <c r="I42" i="20"/>
  <c r="I43" i="20" s="1"/>
  <c r="I44" i="20" s="1"/>
  <c r="I47" i="20" s="1"/>
  <c r="I51" i="20" s="1"/>
  <c r="I22" i="20"/>
  <c r="J18" i="20"/>
  <c r="J21" i="20" s="1"/>
  <c r="I20" i="20"/>
  <c r="D62" i="20"/>
  <c r="D59" i="20"/>
  <c r="J56" i="23" l="1"/>
  <c r="J57" i="23"/>
  <c r="J58" i="23"/>
  <c r="L26" i="23"/>
  <c r="K46" i="23"/>
  <c r="K47" i="23" s="1"/>
  <c r="J71" i="23"/>
  <c r="J72" i="23" s="1"/>
  <c r="G65" i="23"/>
  <c r="G62" i="23"/>
  <c r="I59" i="23"/>
  <c r="I61" i="23" s="1"/>
  <c r="I62" i="23" s="1"/>
  <c r="K60" i="23"/>
  <c r="K53" i="23"/>
  <c r="J59" i="23"/>
  <c r="J61" i="23" s="1"/>
  <c r="J62" i="23" s="1"/>
  <c r="G63" i="23"/>
  <c r="H61" i="23"/>
  <c r="H63" i="23" s="1"/>
  <c r="H43" i="20"/>
  <c r="H44" i="20" s="1"/>
  <c r="H47" i="20" s="1"/>
  <c r="H51" i="20" s="1"/>
  <c r="H56" i="20" s="1"/>
  <c r="K30" i="23"/>
  <c r="K29" i="23"/>
  <c r="L27" i="23"/>
  <c r="L31" i="23" s="1"/>
  <c r="L51" i="23" s="1"/>
  <c r="L52" i="23" s="1"/>
  <c r="E63" i="20"/>
  <c r="F63" i="20"/>
  <c r="H58" i="20"/>
  <c r="J42" i="20"/>
  <c r="J43" i="20" s="1"/>
  <c r="J44" i="20" s="1"/>
  <c r="J47" i="20" s="1"/>
  <c r="J51" i="20" s="1"/>
  <c r="J20" i="20"/>
  <c r="J22" i="20"/>
  <c r="K18" i="20"/>
  <c r="K21" i="20" s="1"/>
  <c r="E57" i="20"/>
  <c r="D64" i="20"/>
  <c r="G56" i="20"/>
  <c r="G58" i="20" s="1"/>
  <c r="K56" i="23" l="1"/>
  <c r="K57" i="23"/>
  <c r="K58" i="23"/>
  <c r="M26" i="23"/>
  <c r="L46" i="23"/>
  <c r="L47" i="23" s="1"/>
  <c r="G67" i="23"/>
  <c r="K71" i="23"/>
  <c r="K72" i="23" s="1"/>
  <c r="I64" i="23"/>
  <c r="I66" i="23"/>
  <c r="J66" i="23"/>
  <c r="J64" i="23"/>
  <c r="H65" i="23"/>
  <c r="H67" i="23" s="1"/>
  <c r="H62" i="23"/>
  <c r="G64" i="23"/>
  <c r="G66" i="23"/>
  <c r="I63" i="23"/>
  <c r="I65" i="23"/>
  <c r="I67" i="23" s="1"/>
  <c r="J63" i="23"/>
  <c r="J65" i="23"/>
  <c r="J67" i="23" s="1"/>
  <c r="K59" i="23"/>
  <c r="L60" i="23"/>
  <c r="L53" i="23"/>
  <c r="L30" i="23"/>
  <c r="M27" i="23"/>
  <c r="M31" i="23" s="1"/>
  <c r="M51" i="23" s="1"/>
  <c r="M52" i="23" s="1"/>
  <c r="L29" i="23"/>
  <c r="E62" i="20"/>
  <c r="E59" i="20"/>
  <c r="K22" i="20"/>
  <c r="L18" i="20"/>
  <c r="L21" i="20" s="1"/>
  <c r="K42" i="20"/>
  <c r="K43" i="20" s="1"/>
  <c r="K44" i="20" s="1"/>
  <c r="K47" i="20" s="1"/>
  <c r="K51" i="20" s="1"/>
  <c r="K20" i="20"/>
  <c r="K61" i="23" l="1"/>
  <c r="K62" i="23" s="1"/>
  <c r="K64" i="23" s="1"/>
  <c r="L56" i="23"/>
  <c r="L57" i="23"/>
  <c r="L58" i="23"/>
  <c r="L71" i="23"/>
  <c r="L72" i="23" s="1"/>
  <c r="G68" i="23"/>
  <c r="N26" i="23"/>
  <c r="P26" i="23" s="1"/>
  <c r="M46" i="23"/>
  <c r="M47" i="23" s="1"/>
  <c r="H64" i="23"/>
  <c r="H66" i="23"/>
  <c r="H68" i="23" s="1"/>
  <c r="I68" i="23" s="1"/>
  <c r="J68" i="23" s="1"/>
  <c r="M53" i="23"/>
  <c r="M60" i="23"/>
  <c r="M71" i="23" s="1"/>
  <c r="M72" i="23" s="1"/>
  <c r="L59" i="23"/>
  <c r="L61" i="23" s="1"/>
  <c r="L62" i="23" s="1"/>
  <c r="M30" i="23"/>
  <c r="N27" i="23"/>
  <c r="P27" i="23" s="1"/>
  <c r="M29" i="23"/>
  <c r="G63" i="20"/>
  <c r="H63" i="20"/>
  <c r="J56" i="20"/>
  <c r="J58" i="20" s="1"/>
  <c r="L22" i="20"/>
  <c r="M18" i="20"/>
  <c r="M21" i="20" s="1"/>
  <c r="L42" i="20"/>
  <c r="L43" i="20" s="1"/>
  <c r="L44" i="20" s="1"/>
  <c r="L47" i="20" s="1"/>
  <c r="L51" i="20" s="1"/>
  <c r="L20" i="20"/>
  <c r="I56" i="20"/>
  <c r="I58" i="20" s="1"/>
  <c r="E64" i="20"/>
  <c r="F57" i="20"/>
  <c r="K65" i="23" l="1"/>
  <c r="K67" i="23" s="1"/>
  <c r="K63" i="23"/>
  <c r="K66" i="23"/>
  <c r="K68" i="23" s="1"/>
  <c r="M57" i="23"/>
  <c r="M56" i="23"/>
  <c r="M58" i="23"/>
  <c r="N46" i="23"/>
  <c r="N47" i="23" s="1"/>
  <c r="L64" i="23"/>
  <c r="L66" i="23"/>
  <c r="L63" i="23"/>
  <c r="L65" i="23"/>
  <c r="L67" i="23" s="1"/>
  <c r="M59" i="23"/>
  <c r="M61" i="23" s="1"/>
  <c r="M62" i="23" s="1"/>
  <c r="N31" i="23"/>
  <c r="N51" i="23" s="1"/>
  <c r="N52" i="23" s="1"/>
  <c r="N53" i="23" s="1"/>
  <c r="N30" i="23"/>
  <c r="N29" i="23"/>
  <c r="F62" i="20"/>
  <c r="F59" i="20"/>
  <c r="M22" i="20"/>
  <c r="N18" i="20"/>
  <c r="N21" i="20" s="1"/>
  <c r="M20" i="20"/>
  <c r="M42" i="20"/>
  <c r="M43" i="20" s="1"/>
  <c r="M44" i="20" s="1"/>
  <c r="M47" i="20" s="1"/>
  <c r="M51" i="20" s="1"/>
  <c r="N57" i="23" l="1"/>
  <c r="N56" i="23"/>
  <c r="O56" i="23" s="1"/>
  <c r="N58" i="23"/>
  <c r="O57" i="23"/>
  <c r="O58" i="23"/>
  <c r="L68" i="23"/>
  <c r="M64" i="23"/>
  <c r="M66" i="23"/>
  <c r="N60" i="23"/>
  <c r="M63" i="23"/>
  <c r="M65" i="23"/>
  <c r="M67" i="23" s="1"/>
  <c r="I63" i="20"/>
  <c r="J63" i="20"/>
  <c r="L56" i="20"/>
  <c r="L58" i="20" s="1"/>
  <c r="N42" i="20"/>
  <c r="N22" i="20"/>
  <c r="N20" i="20"/>
  <c r="K56" i="20"/>
  <c r="K58" i="20" s="1"/>
  <c r="G57" i="20"/>
  <c r="F64" i="20"/>
  <c r="N71" i="23" l="1"/>
  <c r="N72" i="23" s="1"/>
  <c r="O60" i="23"/>
  <c r="N59" i="23"/>
  <c r="O53" i="23"/>
  <c r="M68" i="23"/>
  <c r="Q26" i="23"/>
  <c r="P46" i="23"/>
  <c r="P47" i="23" s="1"/>
  <c r="P31" i="23"/>
  <c r="P51" i="23" s="1"/>
  <c r="P52" i="23" s="1"/>
  <c r="Q27" i="23"/>
  <c r="P30" i="23"/>
  <c r="P29" i="23"/>
  <c r="N43" i="20"/>
  <c r="O42" i="20"/>
  <c r="M56" i="20"/>
  <c r="M58" i="20" s="1"/>
  <c r="G62" i="20"/>
  <c r="G59" i="20"/>
  <c r="P57" i="23" l="1"/>
  <c r="P56" i="23"/>
  <c r="P58" i="23"/>
  <c r="N61" i="23"/>
  <c r="O59" i="23"/>
  <c r="R26" i="23"/>
  <c r="Q46" i="23"/>
  <c r="Q47" i="23" s="1"/>
  <c r="P53" i="23"/>
  <c r="P59" i="23" s="1"/>
  <c r="P61" i="23" s="1"/>
  <c r="P62" i="23" s="1"/>
  <c r="P66" i="23" s="1"/>
  <c r="P60" i="23"/>
  <c r="P71" i="23" s="1"/>
  <c r="P64" i="23"/>
  <c r="Q29" i="23"/>
  <c r="Q31" i="23"/>
  <c r="Q51" i="23" s="1"/>
  <c r="Q52" i="23" s="1"/>
  <c r="Q30" i="23"/>
  <c r="R27" i="23"/>
  <c r="N44" i="20"/>
  <c r="O43" i="20"/>
  <c r="K63" i="20"/>
  <c r="L63" i="20"/>
  <c r="O40" i="20"/>
  <c r="H57" i="20"/>
  <c r="G64" i="20"/>
  <c r="Q57" i="23" l="1"/>
  <c r="Q56" i="23"/>
  <c r="Q58" i="23"/>
  <c r="S26" i="23"/>
  <c r="R46" i="23"/>
  <c r="R47" i="23" s="1"/>
  <c r="N62" i="23"/>
  <c r="O61" i="23"/>
  <c r="N63" i="23"/>
  <c r="O63" i="23" s="1"/>
  <c r="N65" i="23"/>
  <c r="P72" i="23"/>
  <c r="Q60" i="23"/>
  <c r="Q53" i="23"/>
  <c r="Q64" i="23"/>
  <c r="P63" i="23"/>
  <c r="P65" i="23"/>
  <c r="P67" i="23" s="1"/>
  <c r="R30" i="23"/>
  <c r="S27" i="23"/>
  <c r="R29" i="23"/>
  <c r="R31" i="23"/>
  <c r="R51" i="23" s="1"/>
  <c r="R52" i="23" s="1"/>
  <c r="O44" i="20"/>
  <c r="N47" i="20"/>
  <c r="M63" i="20"/>
  <c r="H62" i="20"/>
  <c r="H59" i="20"/>
  <c r="R56" i="23" l="1"/>
  <c r="R57" i="23"/>
  <c r="R58" i="23"/>
  <c r="N67" i="23"/>
  <c r="O67" i="23" s="1"/>
  <c r="O65" i="23"/>
  <c r="O62" i="23"/>
  <c r="N64" i="23"/>
  <c r="O64" i="23" s="1"/>
  <c r="N66" i="23"/>
  <c r="T26" i="23"/>
  <c r="S46" i="23"/>
  <c r="S47" i="23" s="1"/>
  <c r="Q71" i="23"/>
  <c r="Q72" i="23" s="1"/>
  <c r="R53" i="23"/>
  <c r="R60" i="23"/>
  <c r="R64" i="23"/>
  <c r="Q59" i="23"/>
  <c r="Q61" i="23" s="1"/>
  <c r="Q62" i="23" s="1"/>
  <c r="Q66" i="23" s="1"/>
  <c r="T27" i="23"/>
  <c r="S29" i="23"/>
  <c r="S31" i="23"/>
  <c r="S51" i="23" s="1"/>
  <c r="S52" i="23" s="1"/>
  <c r="S30" i="23"/>
  <c r="N51" i="20"/>
  <c r="O47" i="20"/>
  <c r="H64" i="20"/>
  <c r="I57" i="20"/>
  <c r="R71" i="23" l="1"/>
  <c r="R72" i="23" s="1"/>
  <c r="S56" i="23"/>
  <c r="S57" i="23"/>
  <c r="S58" i="23"/>
  <c r="U26" i="23"/>
  <c r="T46" i="23"/>
  <c r="T47" i="23" s="1"/>
  <c r="N68" i="23"/>
  <c r="P68" i="23" s="1"/>
  <c r="O66" i="23"/>
  <c r="S53" i="23"/>
  <c r="S64" i="23"/>
  <c r="S60" i="23"/>
  <c r="Q63" i="23"/>
  <c r="Q65" i="23"/>
  <c r="Q67" i="23" s="1"/>
  <c r="R59" i="23"/>
  <c r="R61" i="23" s="1"/>
  <c r="R62" i="23" s="1"/>
  <c r="R66" i="23" s="1"/>
  <c r="T30" i="23"/>
  <c r="U27" i="23"/>
  <c r="T29" i="23"/>
  <c r="T31" i="23"/>
  <c r="T51" i="23" s="1"/>
  <c r="O51" i="20"/>
  <c r="N56" i="20"/>
  <c r="N58" i="20" s="1"/>
  <c r="N63" i="20" s="1"/>
  <c r="I62" i="20"/>
  <c r="I59" i="20"/>
  <c r="S71" i="23" l="1"/>
  <c r="S72" i="23" s="1"/>
  <c r="Q68" i="23"/>
  <c r="R68" i="23" s="1"/>
  <c r="T56" i="23"/>
  <c r="T57" i="23"/>
  <c r="T58" i="23"/>
  <c r="V26" i="23"/>
  <c r="U46" i="23"/>
  <c r="U47" i="23" s="1"/>
  <c r="R63" i="23"/>
  <c r="R65" i="23"/>
  <c r="R67" i="23" s="1"/>
  <c r="S59" i="23"/>
  <c r="S61" i="23" s="1"/>
  <c r="S62" i="23" s="1"/>
  <c r="S66" i="23" s="1"/>
  <c r="T52" i="23"/>
  <c r="V27" i="23"/>
  <c r="U31" i="23"/>
  <c r="U51" i="23" s="1"/>
  <c r="U52" i="23" s="1"/>
  <c r="U30" i="23"/>
  <c r="U29" i="23"/>
  <c r="I64" i="20"/>
  <c r="J57" i="20"/>
  <c r="U56" i="23" l="1"/>
  <c r="U57" i="23"/>
  <c r="U58" i="23"/>
  <c r="S68" i="23"/>
  <c r="W26" i="23"/>
  <c r="V46" i="23"/>
  <c r="V47" i="23" s="1"/>
  <c r="S65" i="23"/>
  <c r="S67" i="23" s="1"/>
  <c r="S63" i="23"/>
  <c r="U60" i="23"/>
  <c r="U53" i="23"/>
  <c r="U64" i="23"/>
  <c r="T53" i="23"/>
  <c r="T64" i="23"/>
  <c r="T60" i="23"/>
  <c r="T71" i="23" s="1"/>
  <c r="V30" i="23"/>
  <c r="W27" i="23"/>
  <c r="V29" i="23"/>
  <c r="V31" i="23"/>
  <c r="V51" i="23" s="1"/>
  <c r="V52" i="23" s="1"/>
  <c r="J62" i="20"/>
  <c r="J59" i="20"/>
  <c r="V56" i="23" l="1"/>
  <c r="V57" i="23"/>
  <c r="V58" i="23"/>
  <c r="X26" i="23"/>
  <c r="Y26" i="23" s="1"/>
  <c r="Y46" i="23" s="1"/>
  <c r="Y47" i="23" s="1"/>
  <c r="W46" i="23"/>
  <c r="W47" i="23" s="1"/>
  <c r="T72" i="23"/>
  <c r="U71" i="23"/>
  <c r="U72" i="23" s="1"/>
  <c r="T59" i="23"/>
  <c r="T61" i="23" s="1"/>
  <c r="T62" i="23" s="1"/>
  <c r="T66" i="23" s="1"/>
  <c r="T68" i="23" s="1"/>
  <c r="U59" i="23"/>
  <c r="U61" i="23" s="1"/>
  <c r="U62" i="23" s="1"/>
  <c r="U66" i="23" s="1"/>
  <c r="V64" i="23"/>
  <c r="V60" i="23"/>
  <c r="V53" i="23"/>
  <c r="W29" i="23"/>
  <c r="W31" i="23"/>
  <c r="W51" i="23" s="1"/>
  <c r="W52" i="23" s="1"/>
  <c r="W30" i="23"/>
  <c r="X27" i="23"/>
  <c r="Y27" i="23" s="1"/>
  <c r="J64" i="20"/>
  <c r="K57" i="20"/>
  <c r="Y29" i="23" l="1"/>
  <c r="Y30" i="23"/>
  <c r="Y31" i="23"/>
  <c r="Y51" i="23" s="1"/>
  <c r="Y52" i="23" s="1"/>
  <c r="W57" i="23"/>
  <c r="W56" i="23"/>
  <c r="W58" i="23"/>
  <c r="X46" i="23"/>
  <c r="X47" i="23" s="1"/>
  <c r="U65" i="23"/>
  <c r="U67" i="23" s="1"/>
  <c r="U63" i="23"/>
  <c r="T65" i="23"/>
  <c r="T67" i="23" s="1"/>
  <c r="T63" i="23"/>
  <c r="W60" i="23"/>
  <c r="W53" i="23"/>
  <c r="W64" i="23"/>
  <c r="V71" i="23"/>
  <c r="V72" i="23" s="1"/>
  <c r="V59" i="23"/>
  <c r="V61" i="23" s="1"/>
  <c r="V62" i="23" s="1"/>
  <c r="V66" i="23" s="1"/>
  <c r="X29" i="23"/>
  <c r="X30" i="23"/>
  <c r="X31" i="23"/>
  <c r="X51" i="23" s="1"/>
  <c r="X52" i="23" s="1"/>
  <c r="U68" i="23"/>
  <c r="K62" i="20"/>
  <c r="K59" i="20"/>
  <c r="W71" i="23" l="1"/>
  <c r="W72" i="23" s="1"/>
  <c r="Y60" i="23"/>
  <c r="Y53" i="23"/>
  <c r="Y64" i="23"/>
  <c r="Y56" i="23"/>
  <c r="Y57" i="23"/>
  <c r="Y58" i="23"/>
  <c r="X56" i="23"/>
  <c r="X57" i="23"/>
  <c r="X58" i="23"/>
  <c r="Z26" i="23"/>
  <c r="AA26" i="23" s="1"/>
  <c r="AA46" i="23" s="1"/>
  <c r="AA47" i="23" s="1"/>
  <c r="X60" i="23"/>
  <c r="X53" i="23"/>
  <c r="X64" i="23"/>
  <c r="V65" i="23"/>
  <c r="V67" i="23" s="1"/>
  <c r="V63" i="23"/>
  <c r="W59" i="23"/>
  <c r="W61" i="23" s="1"/>
  <c r="W62" i="23" s="1"/>
  <c r="W66" i="23" s="1"/>
  <c r="Z27" i="23"/>
  <c r="AA27" i="23" s="1"/>
  <c r="V68" i="23"/>
  <c r="K64" i="20"/>
  <c r="L57" i="20"/>
  <c r="X71" i="23" l="1"/>
  <c r="Y71" i="23"/>
  <c r="Y72" i="23" s="1"/>
  <c r="Y59" i="23"/>
  <c r="Y61" i="23" s="1"/>
  <c r="AA30" i="23"/>
  <c r="AA31" i="23"/>
  <c r="AA51" i="23" s="1"/>
  <c r="AA52" i="23" s="1"/>
  <c r="AA29" i="23"/>
  <c r="Z46" i="23"/>
  <c r="Z47" i="23" s="1"/>
  <c r="W63" i="23"/>
  <c r="W65" i="23"/>
  <c r="W67" i="23" s="1"/>
  <c r="X59" i="23"/>
  <c r="X61" i="23" s="1"/>
  <c r="X62" i="23" s="1"/>
  <c r="X66" i="23" s="1"/>
  <c r="X72" i="23"/>
  <c r="Z29" i="23"/>
  <c r="Z30" i="23"/>
  <c r="Z31" i="23"/>
  <c r="Z51" i="23" s="1"/>
  <c r="Z52" i="23" s="1"/>
  <c r="W68" i="23"/>
  <c r="L62" i="20"/>
  <c r="L59" i="20"/>
  <c r="Y62" i="23" l="1"/>
  <c r="Y66" i="23" s="1"/>
  <c r="Y63" i="23"/>
  <c r="Y65" i="23"/>
  <c r="Y67" i="23" s="1"/>
  <c r="AA57" i="23"/>
  <c r="AA56" i="23"/>
  <c r="AA58" i="23"/>
  <c r="AA53" i="23"/>
  <c r="AA64" i="23"/>
  <c r="AA60" i="23"/>
  <c r="Z57" i="23"/>
  <c r="Z56" i="23"/>
  <c r="Z58" i="23"/>
  <c r="X65" i="23"/>
  <c r="X67" i="23" s="1"/>
  <c r="X63" i="23"/>
  <c r="Z64" i="23"/>
  <c r="Z60" i="23"/>
  <c r="Z71" i="23" s="1"/>
  <c r="Z72" i="23" s="1"/>
  <c r="Z53" i="23"/>
  <c r="X68" i="23"/>
  <c r="L64" i="20"/>
  <c r="M57" i="20"/>
  <c r="Y68" i="23" l="1"/>
  <c r="AA71" i="23"/>
  <c r="AA72" i="23" s="1"/>
  <c r="AA59" i="23"/>
  <c r="AA61" i="23" s="1"/>
  <c r="Z59" i="23"/>
  <c r="Z61" i="23" s="1"/>
  <c r="Z62" i="23" s="1"/>
  <c r="Z66" i="23" s="1"/>
  <c r="M62" i="20"/>
  <c r="M59" i="20"/>
  <c r="AA62" i="23" l="1"/>
  <c r="AA66" i="23" s="1"/>
  <c r="AA63" i="23"/>
  <c r="AA65" i="23"/>
  <c r="AA67" i="23" s="1"/>
  <c r="Z68" i="23"/>
  <c r="Z63" i="23"/>
  <c r="Z65" i="23"/>
  <c r="Z67" i="23" s="1"/>
  <c r="M64" i="20"/>
  <c r="N57" i="20"/>
  <c r="AA68" i="23" l="1"/>
  <c r="AE26" i="23"/>
  <c r="AE27" i="23"/>
  <c r="N62" i="20"/>
  <c r="N59" i="20"/>
  <c r="AF26" i="23" l="1"/>
  <c r="AE46" i="23"/>
  <c r="AE47" i="23" s="1"/>
  <c r="AE30" i="23"/>
  <c r="AF27" i="23"/>
  <c r="AE29" i="23"/>
  <c r="AE31" i="23"/>
  <c r="AE51" i="23" s="1"/>
  <c r="N64" i="20"/>
  <c r="AE56" i="23" l="1"/>
  <c r="AE57" i="23"/>
  <c r="AE58" i="23"/>
  <c r="AG26" i="23"/>
  <c r="AF46" i="23"/>
  <c r="AF47" i="23" s="1"/>
  <c r="AB67" i="23"/>
  <c r="AE52" i="23"/>
  <c r="AG27" i="23"/>
  <c r="AF29" i="23"/>
  <c r="AF30" i="23"/>
  <c r="AF31" i="23"/>
  <c r="AF51" i="23" s="1"/>
  <c r="AF52" i="23" s="1"/>
  <c r="AF57" i="23" l="1"/>
  <c r="AF56" i="23"/>
  <c r="AF58" i="23"/>
  <c r="AH26" i="23"/>
  <c r="AG46" i="23"/>
  <c r="AG47" i="23" s="1"/>
  <c r="AF53" i="23"/>
  <c r="AF60" i="23"/>
  <c r="AF64" i="23"/>
  <c r="AE53" i="23"/>
  <c r="AE64" i="23"/>
  <c r="AE60" i="23"/>
  <c r="AE71" i="23" s="1"/>
  <c r="AG31" i="23"/>
  <c r="AG51" i="23" s="1"/>
  <c r="AG30" i="23"/>
  <c r="AG29" i="23"/>
  <c r="AG56" i="23" l="1"/>
  <c r="AG57" i="23"/>
  <c r="AG58" i="23"/>
  <c r="AI26" i="23"/>
  <c r="AH46" i="23"/>
  <c r="AH47" i="23" s="1"/>
  <c r="AE59" i="23"/>
  <c r="AE61" i="23" s="1"/>
  <c r="AE62" i="23" s="1"/>
  <c r="AE66" i="23" s="1"/>
  <c r="AE68" i="23" s="1"/>
  <c r="AF59" i="23"/>
  <c r="AF61" i="23" s="1"/>
  <c r="AF71" i="23"/>
  <c r="AF72" i="23" s="1"/>
  <c r="AE72" i="23"/>
  <c r="AH29" i="23"/>
  <c r="AH52" i="23"/>
  <c r="AH53" i="23" s="1"/>
  <c r="AH30" i="23"/>
  <c r="AI27" i="23"/>
  <c r="AI31" i="23" s="1"/>
  <c r="AI51" i="23" s="1"/>
  <c r="AG52" i="23"/>
  <c r="AH56" i="23" l="1"/>
  <c r="AH57" i="23"/>
  <c r="AH58" i="23"/>
  <c r="AJ26" i="23"/>
  <c r="AI46" i="23"/>
  <c r="AI47" i="23" s="1"/>
  <c r="AF62" i="23"/>
  <c r="AF66" i="23" s="1"/>
  <c r="AF68" i="23" s="1"/>
  <c r="AG60" i="23"/>
  <c r="AG71" i="23" s="1"/>
  <c r="AG72" i="23" s="1"/>
  <c r="AG64" i="23"/>
  <c r="AG53" i="23"/>
  <c r="AE63" i="23"/>
  <c r="AE65" i="23"/>
  <c r="AE67" i="23" s="1"/>
  <c r="AH64" i="23"/>
  <c r="AF63" i="23"/>
  <c r="AF65" i="23"/>
  <c r="AF67" i="23" s="1"/>
  <c r="AI29" i="23"/>
  <c r="AI30" i="23"/>
  <c r="AI52" i="23"/>
  <c r="AJ27" i="23"/>
  <c r="AJ31" i="23" s="1"/>
  <c r="AJ51" i="23" s="1"/>
  <c r="AI57" i="23" l="1"/>
  <c r="AI56" i="23"/>
  <c r="AI58" i="23"/>
  <c r="AK26" i="23"/>
  <c r="AJ46" i="23"/>
  <c r="AJ47" i="23" s="1"/>
  <c r="AH61" i="23"/>
  <c r="AH62" i="23" s="1"/>
  <c r="AH66" i="23" s="1"/>
  <c r="AG59" i="23"/>
  <c r="AG61" i="23" s="1"/>
  <c r="AG62" i="23" s="1"/>
  <c r="AG66" i="23" s="1"/>
  <c r="AG68" i="23" s="1"/>
  <c r="AI64" i="23"/>
  <c r="AI53" i="23"/>
  <c r="AH71" i="23"/>
  <c r="AH72" i="23" s="1"/>
  <c r="AH39" i="23" s="1"/>
  <c r="AK27" i="23"/>
  <c r="AK31" i="23" s="1"/>
  <c r="AK51" i="23" s="1"/>
  <c r="AJ52" i="23"/>
  <c r="AJ29" i="23"/>
  <c r="AJ30" i="23"/>
  <c r="AI61" i="23" l="1"/>
  <c r="AI62" i="23" s="1"/>
  <c r="AI66" i="23" s="1"/>
  <c r="AJ56" i="23"/>
  <c r="AJ57" i="23"/>
  <c r="AJ58" i="23"/>
  <c r="AL26" i="23"/>
  <c r="AK46" i="23"/>
  <c r="AK47" i="23" s="1"/>
  <c r="AH43" i="23"/>
  <c r="AO39" i="23"/>
  <c r="AO43" i="23" s="1"/>
  <c r="AH65" i="23"/>
  <c r="AH67" i="23" s="1"/>
  <c r="AH63" i="23"/>
  <c r="AJ64" i="23"/>
  <c r="AJ53" i="23"/>
  <c r="AG65" i="23"/>
  <c r="AG67" i="23" s="1"/>
  <c r="AG63" i="23"/>
  <c r="AK29" i="23"/>
  <c r="AK52" i="23"/>
  <c r="AL27" i="23"/>
  <c r="AL31" i="23" s="1"/>
  <c r="AL51" i="23" s="1"/>
  <c r="AK30" i="23"/>
  <c r="AH68" i="23"/>
  <c r="AI63" i="23" l="1"/>
  <c r="AI65" i="23"/>
  <c r="AI67" i="23" s="1"/>
  <c r="AK56" i="23"/>
  <c r="AK57" i="23"/>
  <c r="AK58" i="23"/>
  <c r="AM26" i="23"/>
  <c r="AL46" i="23"/>
  <c r="AL47" i="23" s="1"/>
  <c r="AK53" i="23"/>
  <c r="AK64" i="23"/>
  <c r="AJ61" i="23"/>
  <c r="AJ62" i="23" s="1"/>
  <c r="AJ66" i="23" s="1"/>
  <c r="AL30" i="23"/>
  <c r="AL52" i="23"/>
  <c r="AM27" i="23"/>
  <c r="AM31" i="23" s="1"/>
  <c r="AM51" i="23" s="1"/>
  <c r="AL29" i="23"/>
  <c r="AI68" i="23"/>
  <c r="AL57" i="23" l="1"/>
  <c r="AL56" i="23"/>
  <c r="AL58" i="23"/>
  <c r="AN26" i="23"/>
  <c r="AM46" i="23"/>
  <c r="AM47" i="23" s="1"/>
  <c r="AL53" i="23"/>
  <c r="AL64" i="23"/>
  <c r="AJ65" i="23"/>
  <c r="AJ67" i="23" s="1"/>
  <c r="AJ63" i="23"/>
  <c r="AK61" i="23"/>
  <c r="AK62" i="23" s="1"/>
  <c r="AK66" i="23" s="1"/>
  <c r="AJ68" i="23"/>
  <c r="AM30" i="23"/>
  <c r="AN27" i="23"/>
  <c r="AM29" i="23"/>
  <c r="AM52" i="23"/>
  <c r="AN31" i="23" l="1"/>
  <c r="AN51" i="23" s="1"/>
  <c r="AM56" i="23"/>
  <c r="AM57" i="23"/>
  <c r="AM58" i="23"/>
  <c r="AN46" i="23"/>
  <c r="AN47" i="23" s="1"/>
  <c r="AM53" i="23"/>
  <c r="AM64" i="23"/>
  <c r="AK65" i="23"/>
  <c r="AK67" i="23" s="1"/>
  <c r="AK63" i="23"/>
  <c r="AL61" i="23"/>
  <c r="AL62" i="23" s="1"/>
  <c r="AL66" i="23" s="1"/>
  <c r="AK68" i="23"/>
  <c r="AN29" i="23"/>
  <c r="AN30" i="23"/>
  <c r="AN56" i="23" l="1"/>
  <c r="AO56" i="23" s="1"/>
  <c r="AN57" i="23"/>
  <c r="AN58" i="23"/>
  <c r="AO58" i="23"/>
  <c r="AO57" i="23"/>
  <c r="B75" i="23" s="1"/>
  <c r="AL63" i="23"/>
  <c r="AL65" i="23"/>
  <c r="AL67" i="23" s="1"/>
  <c r="AM61" i="23"/>
  <c r="AM62" i="23" s="1"/>
  <c r="AM66" i="23" s="1"/>
  <c r="AL68" i="23"/>
  <c r="AN52" i="23"/>
  <c r="AN64" i="23" l="1"/>
  <c r="AO64" i="23" s="1"/>
  <c r="BB64" i="23" s="1"/>
  <c r="AN53" i="23"/>
  <c r="AM65" i="23"/>
  <c r="AM67" i="23" s="1"/>
  <c r="AM63" i="23"/>
  <c r="AM68" i="23"/>
  <c r="B84" i="23" l="1"/>
  <c r="B83" i="23"/>
  <c r="AN61" i="23"/>
  <c r="AN62" i="23" s="1"/>
  <c r="AN66" i="23" s="1"/>
  <c r="AN68" i="23" s="1"/>
  <c r="AP68" i="23" s="1"/>
  <c r="AQ68" i="23" s="1"/>
  <c r="AR68" i="23" s="1"/>
  <c r="AS68" i="23" s="1"/>
  <c r="AT68" i="23" s="1"/>
  <c r="AU68" i="23" s="1"/>
  <c r="AV68" i="23" s="1"/>
  <c r="AW68" i="23" s="1"/>
  <c r="AX68" i="23" s="1"/>
  <c r="AY68" i="23" s="1"/>
  <c r="AZ68" i="23" s="1"/>
  <c r="BA68" i="23" s="1"/>
  <c r="AO53" i="23"/>
  <c r="B80" i="23" l="1"/>
  <c r="B79" i="23"/>
  <c r="AN63" i="23"/>
  <c r="AO63" i="23" s="1"/>
  <c r="BB63" i="23" s="1"/>
  <c r="AN65" i="23"/>
  <c r="AN67" i="23" s="1"/>
  <c r="AO67" i="2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Billay</author>
  </authors>
  <commentList>
    <comment ref="B12" authorId="0" shapeId="0" xr:uid="{7C0E19B5-5E7C-42D0-ABE3-4FDD7B59B902}">
      <text>
        <r>
          <rPr>
            <b/>
            <sz val="9"/>
            <color indexed="81"/>
            <rFont val="Tahoma"/>
            <family val="2"/>
          </rPr>
          <t>David Billay:</t>
        </r>
        <r>
          <rPr>
            <sz val="9"/>
            <color indexed="81"/>
            <rFont val="Tahoma"/>
            <family val="2"/>
          </rPr>
          <t xml:space="preserve">
Includes shipping
</t>
        </r>
      </text>
    </comment>
  </commentList>
</comments>
</file>

<file path=xl/sharedStrings.xml><?xml version="1.0" encoding="utf-8"?>
<sst xmlns="http://schemas.openxmlformats.org/spreadsheetml/2006/main" count="529" uniqueCount="196">
  <si>
    <t>Cost (USD)</t>
  </si>
  <si>
    <t>Phase 1: Send to Africa</t>
  </si>
  <si>
    <t>Required</t>
  </si>
  <si>
    <t>360 miners (from Richard)</t>
  </si>
  <si>
    <t>1 TON Infraflow (from Richard)</t>
  </si>
  <si>
    <t>1 Transformer from China</t>
  </si>
  <si>
    <t>Cable from Nigeria</t>
  </si>
  <si>
    <t>Auxilary</t>
  </si>
  <si>
    <t>1 Dorm container (From TON yard)</t>
  </si>
  <si>
    <t>TBD</t>
  </si>
  <si>
    <t>Total</t>
  </si>
  <si>
    <t>Phase 2: Send to Africa</t>
  </si>
  <si>
    <t>1080 miners (from Richard)</t>
  </si>
  <si>
    <t>From TON yard</t>
  </si>
  <si>
    <t>Other</t>
  </si>
  <si>
    <t>3 TON Infraflow (from Richard)</t>
  </si>
  <si>
    <t>3 Transformer from Nigeria</t>
  </si>
  <si>
    <t>Cable from Nigeria (or maybe ship from Texas)</t>
  </si>
  <si>
    <t>Costs</t>
  </si>
  <si>
    <t>Miners</t>
  </si>
  <si>
    <t>Container</t>
  </si>
  <si>
    <t>Construction</t>
  </si>
  <si>
    <t>Quantity</t>
  </si>
  <si>
    <t>W</t>
  </si>
  <si>
    <t>Values in USD</t>
  </si>
  <si>
    <t># of MW of Power</t>
  </si>
  <si>
    <t># of MW Mining</t>
  </si>
  <si>
    <t>Capex Per MW</t>
  </si>
  <si>
    <t># of Containers</t>
  </si>
  <si>
    <t>MW</t>
  </si>
  <si>
    <t># of Transformers</t>
  </si>
  <si>
    <t>Cost per MW</t>
  </si>
  <si>
    <t>Miner Power(W)</t>
  </si>
  <si>
    <t>Network TH</t>
  </si>
  <si>
    <t>Container Cost Each</t>
  </si>
  <si>
    <t>TH</t>
  </si>
  <si>
    <t>Bitcoin per day</t>
  </si>
  <si>
    <t>Transformer Cost Each</t>
  </si>
  <si>
    <t>S19J Pro</t>
  </si>
  <si>
    <t>Buildout Cost Each Container</t>
  </si>
  <si>
    <t>Cashflow</t>
  </si>
  <si>
    <t>Month 0</t>
  </si>
  <si>
    <t>Month 1</t>
  </si>
  <si>
    <t>Month 2</t>
  </si>
  <si>
    <t>Month 3</t>
  </si>
  <si>
    <t xml:space="preserve"> </t>
  </si>
  <si>
    <t>Revenue</t>
  </si>
  <si>
    <t>Startup @ 50%</t>
  </si>
  <si>
    <t>Bitcoin per month</t>
  </si>
  <si>
    <t>Total Bitcoin</t>
  </si>
  <si>
    <t>Revenue (at 90,000 BTCUSD)</t>
  </si>
  <si>
    <t>Capex</t>
  </si>
  <si>
    <t>Transformers</t>
  </si>
  <si>
    <t>Site Development Management</t>
  </si>
  <si>
    <t>Land fee (per year)</t>
  </si>
  <si>
    <t>One time land startup fee</t>
  </si>
  <si>
    <t>Barge cost (Assume 1 per container)</t>
  </si>
  <si>
    <t>CapEx Total</t>
  </si>
  <si>
    <t>OpEx</t>
  </si>
  <si>
    <t>Site Operations</t>
  </si>
  <si>
    <t>OpEx Total</t>
  </si>
  <si>
    <t>Assumed BTCUSD</t>
  </si>
  <si>
    <t>Assumed BTC difficulty</t>
  </si>
  <si>
    <t>T</t>
  </si>
  <si>
    <t>Assumed Miner Reward Model</t>
  </si>
  <si>
    <t>Block Reward</t>
  </si>
  <si>
    <t>Bitcoin per block</t>
  </si>
  <si>
    <t xml:space="preserve"> Daily mining reward = block reward * (86400/(difficulty *( 2^32 /hashrate)))</t>
  </si>
  <si>
    <t>Assumed BTC monthly increase</t>
  </si>
  <si>
    <t>Compounded monthly</t>
  </si>
  <si>
    <t>https://academy.braiins.com/en/mining-insights/profitability/outputs-and-charts/</t>
  </si>
  <si>
    <t xml:space="preserve">Assumed Difficulty monthly </t>
  </si>
  <si>
    <t>https://www.blockchain.com/explorer/charts/difficulty</t>
  </si>
  <si>
    <t>Assumed network hashrate(PH)</t>
  </si>
  <si>
    <t>Buildout Cost Each</t>
  </si>
  <si>
    <t>New Infrastructure count</t>
  </si>
  <si>
    <t>Month 4</t>
  </si>
  <si>
    <t>Month 5</t>
  </si>
  <si>
    <t>Month 6</t>
  </si>
  <si>
    <t>Month 7</t>
  </si>
  <si>
    <t>Month 8</t>
  </si>
  <si>
    <t>Month 9</t>
  </si>
  <si>
    <t>Month 10</t>
  </si>
  <si>
    <t>Month 11</t>
  </si>
  <si>
    <t>Month 12</t>
  </si>
  <si>
    <t>Year1</t>
  </si>
  <si>
    <t>New Containers</t>
  </si>
  <si>
    <t>New miners</t>
  </si>
  <si>
    <t>New Transformers</t>
  </si>
  <si>
    <t>Total Infrastructure Count</t>
  </si>
  <si>
    <t>Containers</t>
  </si>
  <si>
    <t>Miners Total</t>
  </si>
  <si>
    <t>Site Power (MW)</t>
  </si>
  <si>
    <t>Hashing Online Total Site (PH)</t>
  </si>
  <si>
    <t>Hashing Online TON (TH)</t>
  </si>
  <si>
    <t>Site Startup Costs</t>
  </si>
  <si>
    <t>Africa Customs and Logistics</t>
  </si>
  <si>
    <t>Year 1</t>
  </si>
  <si>
    <t>Mining Difficulty (T)</t>
  </si>
  <si>
    <t>Forecasted Bitcoin Value (USD)</t>
  </si>
  <si>
    <t>Bitcoin per month (Site 90%)</t>
  </si>
  <si>
    <t>Monthly Revenue (Site)</t>
  </si>
  <si>
    <t>Income</t>
  </si>
  <si>
    <t>Site Monthly Income</t>
  </si>
  <si>
    <t>Monthly Income (Community)</t>
  </si>
  <si>
    <t>BTC</t>
  </si>
  <si>
    <t>TON TOTAL Income</t>
  </si>
  <si>
    <t>TON BTC</t>
  </si>
  <si>
    <t>Opex</t>
  </si>
  <si>
    <t>Starting Cash</t>
  </si>
  <si>
    <t>Change in Cash</t>
  </si>
  <si>
    <t>Ending Cash</t>
  </si>
  <si>
    <t>1.0</t>
  </si>
  <si>
    <t xml:space="preserve"> Obgoinbiri Site</t>
  </si>
  <si>
    <t>Budget (USD)</t>
  </si>
  <si>
    <t>Budget (CAD)</t>
  </si>
  <si>
    <t>USD/CAD</t>
  </si>
  <si>
    <t>1.1.1</t>
  </si>
  <si>
    <t>1MW TON Infraflow (with power cables)</t>
  </si>
  <si>
    <t>1.1.2</t>
  </si>
  <si>
    <t>2MW TON Phase 2 (with power cables)</t>
  </si>
  <si>
    <t>1.2.1</t>
  </si>
  <si>
    <t>Initial TON Miners</t>
  </si>
  <si>
    <t>1.2.2</t>
  </si>
  <si>
    <t>TON Phase 2 Miners</t>
  </si>
  <si>
    <t>1.3.1</t>
  </si>
  <si>
    <t>Initial 1.5 MVA Transformer 11KVA-400V</t>
  </si>
  <si>
    <t>1.3.2</t>
  </si>
  <si>
    <t>Phase 2 1.5MVA Transformer 11KVA-400V</t>
  </si>
  <si>
    <t>Electrical Materials</t>
  </si>
  <si>
    <t>1.4.1</t>
  </si>
  <si>
    <t>1/0 3 wire Cable</t>
  </si>
  <si>
    <t>1.4.2</t>
  </si>
  <si>
    <t>Misc electrical (lugs, bolts, strut)</t>
  </si>
  <si>
    <t>Logistics to Port Harcourt</t>
  </si>
  <si>
    <t>Ship TON infraflow container</t>
  </si>
  <si>
    <t>Ship Transformer</t>
  </si>
  <si>
    <t>Ship Cable</t>
  </si>
  <si>
    <t>Ship miners</t>
  </si>
  <si>
    <t>Logistics from Port Harcourt to Ogboinbiri</t>
  </si>
  <si>
    <t>Equipment for Makir</t>
  </si>
  <si>
    <t>Site 2 - 10 MW Model</t>
  </si>
  <si>
    <t>Distribution Cost Each</t>
  </si>
  <si>
    <t>Hashing Online TON (PH)</t>
  </si>
  <si>
    <t>TON TRAVEL</t>
  </si>
  <si>
    <t>Power cost upfront</t>
  </si>
  <si>
    <t>Bitcoin per month (TON)</t>
  </si>
  <si>
    <t>Monthly Revenue (TON)</t>
  </si>
  <si>
    <t>Community</t>
  </si>
  <si>
    <t>Nelson Salary</t>
  </si>
  <si>
    <t>Community Development Plan</t>
  </si>
  <si>
    <t>Monthly Income TON</t>
  </si>
  <si>
    <t>CAD</t>
  </si>
  <si>
    <t>per MW Power cost at 30%</t>
  </si>
  <si>
    <t xml:space="preserve">per mw power cost at 25% </t>
  </si>
  <si>
    <t>TON Infraflow (with power cables)</t>
  </si>
  <si>
    <t>TON Miners</t>
  </si>
  <si>
    <t>1.5 MVA Transformer 11KVA-400V</t>
  </si>
  <si>
    <t>Genset Cost Each</t>
  </si>
  <si>
    <t>Operations</t>
  </si>
  <si>
    <t>Genset Cost (power cost)</t>
  </si>
  <si>
    <t>Genset Power Cost</t>
  </si>
  <si>
    <t>$/kwh</t>
  </si>
  <si>
    <t>Axxela Hashrate share</t>
  </si>
  <si>
    <t>Axxela Hashrate share (BTC)</t>
  </si>
  <si>
    <t xml:space="preserve">TON Hashrate share </t>
  </si>
  <si>
    <t>TON Hashrate share (BTC)</t>
  </si>
  <si>
    <t>New Gensets</t>
  </si>
  <si>
    <t>Gensets Total</t>
  </si>
  <si>
    <t>Miner Upgrade Holdback</t>
  </si>
  <si>
    <t>Miner Upgrade Holdback (BTC)</t>
  </si>
  <si>
    <t>Miner Holdback Value</t>
  </si>
  <si>
    <t>Miner Holdback Fund</t>
  </si>
  <si>
    <t>Miner Holdback Fund (BTC)</t>
  </si>
  <si>
    <t>Halvening</t>
  </si>
  <si>
    <t>Site Monthly Income (BTC)</t>
  </si>
  <si>
    <t>Genset Payback</t>
  </si>
  <si>
    <t>Gensets</t>
  </si>
  <si>
    <t>5 year Payback</t>
  </si>
  <si>
    <t>TON Investment</t>
  </si>
  <si>
    <t>3 year payback</t>
  </si>
  <si>
    <t>Axxela Hashrate Share</t>
  </si>
  <si>
    <t>3 year BTC Fund Value</t>
  </si>
  <si>
    <t>Axxela Capex</t>
  </si>
  <si>
    <t>TON Capex</t>
  </si>
  <si>
    <r>
      <t xml:space="preserve">TON Leverages a conservative model of Bitcoin price to forecast profitability.
While popular models forecast Bitcoin prices in excess of 50% year over Year, TON's model requires a steady forecast of Bitcoin price to weather the ups and downs throughout the mining facility lifecycle.
The TON model also forecasts mining difficulty which considers the decreased mining revenue of mining machines over time. To reflect this, the network difficulty increases at a faster rate than the Bitcoin price increase. 
In TON's view of developing project models, a cashflow positive model must be achieved using a conservative Bitcoin price increase model to ensure resiliency for the mining facility through times of increase volatility. TON is able to adjust the model as time progresses to ensure a resilient decision making process including a miner upgrade prior to the Halvening event.
</t>
    </r>
    <r>
      <rPr>
        <b/>
        <sz val="11"/>
        <color theme="1"/>
        <rFont val="Calibri"/>
        <family val="2"/>
        <scheme val="minor"/>
      </rPr>
      <t xml:space="preserve">TON models, like any other forecast, are based on assumptions and speculation and are not to be taken as actual data. Bitcoin in particular experiences extreme volatility which can quickly cause the model to diverge from reality. External due diligence is required when interpreting and using TON models. </t>
    </r>
  </si>
  <si>
    <t>Axxela 10MW Project Model Overview</t>
  </si>
  <si>
    <t>3 year BTC</t>
  </si>
  <si>
    <t>Natural gas cost</t>
  </si>
  <si>
    <t>$1/MCF</t>
  </si>
  <si>
    <t>Genset paypack</t>
  </si>
  <si>
    <t>Nat gas cost</t>
  </si>
  <si>
    <t>Genset payback</t>
  </si>
  <si>
    <t>Year2</t>
  </si>
  <si>
    <t>Year3</t>
  </si>
  <si>
    <t>Year4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</si>
</sst>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164" formatCode="&quot;$&quot;#,##0.00;[Red]\-&quot;$&quot;#,##0.00"/>
    <numFmt numFmtId="165" formatCode="_-&quot;$&quot;* #,##0.00_-;\-&quot;$&quot;* #,##0.00_-;_-&quot;$&quot;* &quot;-&quot;??_-;_-@_-"/>
    <numFmt numFmtId="166" formatCode="_-* #,##0.00_-;\-* #,##0.00_-;_-* &quot;-&quot;??_-;_-@_-"/>
    <numFmt numFmtId="167" formatCode="_([$$-409]* #,##0.00_);_([$$-409]* \(#,##0.00\);_([$$-409]* &quot;-&quot;??_);_(@_)"/>
    <numFmt numFmtId="168" formatCode="_-* #,##0_-;\-* #,##0_-;_-* &quot;-&quot;??_-;_-@_-"/>
    <numFmt numFmtId="169" formatCode="0.0"/>
    <numFmt numFmtId="170" formatCode="&quot;$&quot;#,##0.00"/>
    <numFmt numFmtId="171" formatCode="_(* #,##0.000_);_(* \(#,##0.000\);_(* &quot;-&quot;???_);_(@_)"/>
    <numFmt numFmtId="172" formatCode="_-&quot;$&quot;* #,##0_-;\-&quot;$&quot;* #,##0_-;_-&quot;$&quot;* &quot;-&quot;??_-;_-@_-"/>
    <numFmt numFmtId="173" formatCode="_-&quot;$&quot;* #,##0.0000_-;\-&quot;$&quot;* #,##0.0000_-;_-&quot;$&quot;* &quot;-&quot;??_-;_-@_-"/>
    <numFmt numFmtId="174" formatCode="0.000"/>
    <numFmt numFmtId="175" formatCode="_-[$$-409]* #,##0.00_ ;_-[$$-409]* \-#,##0.00\ ;_-[$$-409]* &quot;-&quot;??_ ;_-@_ "/>
    <numFmt numFmtId="176" formatCode="_-&quot;$&quot;* #,##0.000_-;\-&quot;$&quot;* #,##0.000_-;_-&quot;$&quot;* &quot;-&quot;??_-;_-@_-"/>
  </numFmts>
  <fonts count="25" x14ac:knownFonts="1">
    <font>
      <sz val="11"/>
      <color theme="1"/>
      <name val="Calibri"/>
      <family val="2"/>
      <scheme val="minor"/>
    </font>
    <font>
      <sz val="11"/>
      <color theme="1"/>
      <name val="Calibri"/>
      <family val="2"/>
      <scheme val="minor"/>
    </font>
    <font>
      <sz val="26"/>
      <color rgb="FFFFFFFF"/>
      <name val="Calibri"/>
      <family val="2"/>
      <scheme val="minor"/>
    </font>
    <font>
      <sz val="11"/>
      <color rgb="FF000000"/>
      <name val="Calibri"/>
      <family val="2"/>
      <scheme val="minor"/>
    </font>
    <font>
      <b/>
      <sz val="11"/>
      <color rgb="FFFFFFFF"/>
      <name val="Calibri"/>
      <family val="2"/>
      <scheme val="minor"/>
    </font>
    <font>
      <b/>
      <sz val="11"/>
      <color rgb="FF000000"/>
      <name val="Calibri"/>
      <family val="2"/>
      <scheme val="minor"/>
    </font>
    <font>
      <sz val="12"/>
      <color rgb="FF000000"/>
      <name val="Calibri"/>
      <family val="2"/>
      <scheme val="minor"/>
    </font>
    <font>
      <b/>
      <sz val="12"/>
      <color rgb="FF000000"/>
      <name val="Calibri"/>
      <family val="2"/>
      <scheme val="minor"/>
    </font>
    <font>
      <sz val="12"/>
      <color theme="1"/>
      <name val="Calibri"/>
      <family val="2"/>
      <scheme val="minor"/>
    </font>
    <font>
      <b/>
      <sz val="12"/>
      <color rgb="FFFFFFFF"/>
      <name val="Calibri"/>
      <family val="2"/>
      <scheme val="minor"/>
    </font>
    <font>
      <b/>
      <sz val="12"/>
      <name val="Calibri"/>
      <family val="2"/>
      <scheme val="minor"/>
    </font>
    <font>
      <b/>
      <sz val="12"/>
      <color theme="1"/>
      <name val="Calibri"/>
      <family val="2"/>
      <scheme val="minor"/>
    </font>
    <font>
      <sz val="11"/>
      <color rgb="FFFF0000"/>
      <name val="Calibri"/>
      <family val="2"/>
      <scheme val="minor"/>
    </font>
    <font>
      <sz val="12"/>
      <color theme="1"/>
      <name val="Aptos"/>
      <family val="2"/>
    </font>
    <font>
      <sz val="11"/>
      <color theme="0"/>
      <name val="Calibri"/>
      <family val="2"/>
      <scheme val="minor"/>
    </font>
    <font>
      <sz val="12"/>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12"/>
      <color theme="1"/>
      <name val="Aptos"/>
      <family val="2"/>
    </font>
    <font>
      <sz val="12"/>
      <color rgb="FFFF0000"/>
      <name val="Calibri"/>
      <family val="2"/>
      <scheme val="minor"/>
    </font>
    <font>
      <sz val="10"/>
      <name val="Arial"/>
      <family val="2"/>
    </font>
    <font>
      <u/>
      <sz val="11"/>
      <color theme="10"/>
      <name val="Calibri"/>
      <family val="2"/>
      <scheme val="minor"/>
    </font>
    <font>
      <sz val="36"/>
      <color theme="1"/>
      <name val="Calibri"/>
      <family val="2"/>
      <scheme val="minor"/>
    </font>
  </fonts>
  <fills count="12">
    <fill>
      <patternFill patternType="none"/>
    </fill>
    <fill>
      <patternFill patternType="gray125"/>
    </fill>
    <fill>
      <patternFill patternType="solid">
        <fgColor rgb="FF4472C4"/>
        <bgColor rgb="FF000000"/>
      </patternFill>
    </fill>
    <fill>
      <patternFill patternType="solid">
        <fgColor rgb="FF8EA9DB"/>
        <bgColor rgb="FF000000"/>
      </patternFill>
    </fill>
    <fill>
      <patternFill patternType="solid">
        <fgColor rgb="FFD9E1F2"/>
        <bgColor rgb="FF000000"/>
      </patternFill>
    </fill>
    <fill>
      <patternFill patternType="solid">
        <fgColor rgb="FFFFFF00"/>
        <bgColor rgb="FF000000"/>
      </patternFill>
    </fill>
    <fill>
      <patternFill patternType="solid">
        <fgColor theme="9"/>
        <bgColor indexed="64"/>
      </patternFill>
    </fill>
    <fill>
      <patternFill patternType="solid">
        <fgColor rgb="FFFFFF00"/>
        <bgColor indexed="64"/>
      </patternFill>
    </fill>
    <fill>
      <patternFill patternType="solid">
        <fgColor theme="1"/>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4"/>
        <bgColor indexed="64"/>
      </patternFill>
    </fill>
  </fills>
  <borders count="72">
    <border>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thin">
        <color indexed="64"/>
      </top>
      <bottom/>
      <diagonal/>
    </border>
    <border>
      <left/>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style="thin">
        <color indexed="64"/>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rgb="FF00000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s>
  <cellStyleXfs count="10">
    <xf numFmtId="0" fontId="0" fillId="0" borderId="0"/>
    <xf numFmtId="165"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0" fontId="1" fillId="0" borderId="0"/>
    <xf numFmtId="0" fontId="22" fillId="0" borderId="0"/>
    <xf numFmtId="166"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23" fillId="0" borderId="0" applyNumberFormat="0" applyFill="0" applyBorder="0" applyAlignment="0" applyProtection="0"/>
  </cellStyleXfs>
  <cellXfs count="340">
    <xf numFmtId="0" fontId="0" fillId="0" borderId="0" xfId="0"/>
    <xf numFmtId="0" fontId="3" fillId="0" borderId="0" xfId="0" applyFont="1"/>
    <xf numFmtId="0" fontId="4" fillId="2" borderId="11" xfId="0" applyFont="1" applyFill="1" applyBorder="1"/>
    <xf numFmtId="0" fontId="4" fillId="2" borderId="12" xfId="0" applyFont="1" applyFill="1" applyBorder="1" applyAlignment="1">
      <alignment horizontal="center"/>
    </xf>
    <xf numFmtId="0" fontId="3" fillId="0" borderId="0" xfId="0" applyFont="1" applyAlignment="1">
      <alignment horizontal="left" indent="2"/>
    </xf>
    <xf numFmtId="0" fontId="6" fillId="0" borderId="0" xfId="0" applyFont="1"/>
    <xf numFmtId="0" fontId="3" fillId="0" borderId="1" xfId="0" applyFont="1" applyBorder="1"/>
    <xf numFmtId="164" fontId="5" fillId="0" borderId="14" xfId="0" applyNumberFormat="1" applyFont="1" applyBorder="1"/>
    <xf numFmtId="165" fontId="6" fillId="0" borderId="0" xfId="1" applyFont="1" applyBorder="1"/>
    <xf numFmtId="0" fontId="6" fillId="0" borderId="17" xfId="0" applyFont="1" applyBorder="1" applyAlignment="1">
      <alignment horizontal="left" indent="2"/>
    </xf>
    <xf numFmtId="0" fontId="6" fillId="0" borderId="17" xfId="0" applyFont="1" applyBorder="1" applyAlignment="1">
      <alignment horizontal="left" indent="1"/>
    </xf>
    <xf numFmtId="0" fontId="4" fillId="2" borderId="19" xfId="0" applyFont="1" applyFill="1" applyBorder="1"/>
    <xf numFmtId="0" fontId="4" fillId="2" borderId="20" xfId="0" applyFont="1" applyFill="1" applyBorder="1" applyAlignment="1">
      <alignment horizontal="center"/>
    </xf>
    <xf numFmtId="167" fontId="0" fillId="0" borderId="0" xfId="0" applyNumberFormat="1"/>
    <xf numFmtId="44" fontId="0" fillId="0" borderId="0" xfId="0" applyNumberFormat="1"/>
    <xf numFmtId="2" fontId="0" fillId="0" borderId="0" xfId="0" applyNumberFormat="1"/>
    <xf numFmtId="165" fontId="6" fillId="0" borderId="0" xfId="1" applyFont="1"/>
    <xf numFmtId="165" fontId="6" fillId="0" borderId="27" xfId="1" applyFont="1" applyBorder="1"/>
    <xf numFmtId="165" fontId="6" fillId="3" borderId="28" xfId="1" applyFont="1" applyFill="1" applyBorder="1"/>
    <xf numFmtId="165" fontId="6" fillId="3" borderId="14" xfId="1" applyFont="1" applyFill="1" applyBorder="1"/>
    <xf numFmtId="165" fontId="6" fillId="4" borderId="27" xfId="1" applyFont="1" applyFill="1" applyBorder="1"/>
    <xf numFmtId="165" fontId="6" fillId="4" borderId="0" xfId="1" applyFont="1" applyFill="1"/>
    <xf numFmtId="165" fontId="6" fillId="4" borderId="0" xfId="1" applyFont="1" applyFill="1" applyBorder="1"/>
    <xf numFmtId="165" fontId="6" fillId="0" borderId="27" xfId="1" applyFont="1" applyBorder="1" applyAlignment="1">
      <alignment horizontal="right" vertical="center"/>
    </xf>
    <xf numFmtId="165" fontId="7" fillId="0" borderId="28" xfId="1" applyFont="1" applyBorder="1"/>
    <xf numFmtId="0" fontId="9" fillId="2" borderId="22" xfId="0" applyFont="1" applyFill="1" applyBorder="1"/>
    <xf numFmtId="165" fontId="9" fillId="2" borderId="23" xfId="1" applyFont="1" applyFill="1" applyBorder="1" applyAlignment="1">
      <alignment horizontal="center"/>
    </xf>
    <xf numFmtId="0" fontId="8" fillId="0" borderId="0" xfId="0" applyFont="1"/>
    <xf numFmtId="0" fontId="9" fillId="2" borderId="24" xfId="0" applyFont="1" applyFill="1" applyBorder="1"/>
    <xf numFmtId="165" fontId="9" fillId="2" borderId="25" xfId="1" applyFont="1" applyFill="1" applyBorder="1" applyAlignment="1">
      <alignment horizontal="center"/>
    </xf>
    <xf numFmtId="0" fontId="9" fillId="2" borderId="6" xfId="0" applyFont="1" applyFill="1" applyBorder="1"/>
    <xf numFmtId="165" fontId="9" fillId="2" borderId="9" xfId="1" applyFont="1" applyFill="1" applyBorder="1" applyAlignment="1">
      <alignment horizontal="center"/>
    </xf>
    <xf numFmtId="0" fontId="9" fillId="2" borderId="5" xfId="0" applyFont="1" applyFill="1" applyBorder="1" applyAlignment="1">
      <alignment horizontal="center"/>
    </xf>
    <xf numFmtId="0" fontId="10" fillId="0" borderId="30" xfId="0" applyFont="1" applyBorder="1"/>
    <xf numFmtId="0" fontId="9" fillId="2" borderId="15" xfId="0" applyFont="1" applyFill="1" applyBorder="1"/>
    <xf numFmtId="165" fontId="9" fillId="2" borderId="26" xfId="1" applyFont="1" applyFill="1" applyBorder="1" applyAlignment="1">
      <alignment horizontal="center"/>
    </xf>
    <xf numFmtId="165" fontId="9" fillId="2" borderId="16" xfId="1" applyFont="1" applyFill="1" applyBorder="1" applyAlignment="1">
      <alignment horizontal="center"/>
    </xf>
    <xf numFmtId="0" fontId="7" fillId="3" borderId="18" xfId="0" applyFont="1" applyFill="1" applyBorder="1" applyAlignment="1">
      <alignment horizontal="left"/>
    </xf>
    <xf numFmtId="0" fontId="7" fillId="4" borderId="17" xfId="0" applyFont="1" applyFill="1" applyBorder="1" applyAlignment="1">
      <alignment horizontal="left" indent="1"/>
    </xf>
    <xf numFmtId="0" fontId="7" fillId="0" borderId="18" xfId="0" applyFont="1" applyBorder="1" applyAlignment="1">
      <alignment horizontal="left" indent="2"/>
    </xf>
    <xf numFmtId="2" fontId="10" fillId="0" borderId="30" xfId="0" applyNumberFormat="1" applyFont="1" applyBorder="1"/>
    <xf numFmtId="165" fontId="6" fillId="0" borderId="30" xfId="1" applyFont="1" applyBorder="1"/>
    <xf numFmtId="165" fontId="7" fillId="0" borderId="30" xfId="1" applyFont="1" applyBorder="1" applyAlignment="1">
      <alignment horizontal="center" vertical="center"/>
    </xf>
    <xf numFmtId="0" fontId="6" fillId="0" borderId="31" xfId="0" applyFont="1" applyBorder="1" applyAlignment="1">
      <alignment horizontal="left" indent="2"/>
    </xf>
    <xf numFmtId="165" fontId="6" fillId="0" borderId="31" xfId="1" applyFont="1" applyBorder="1"/>
    <xf numFmtId="2" fontId="6" fillId="0" borderId="31" xfId="1" applyNumberFormat="1" applyFont="1" applyBorder="1" applyAlignment="1">
      <alignment horizontal="center" vertical="center"/>
    </xf>
    <xf numFmtId="0" fontId="7" fillId="3" borderId="3" xfId="0" applyFont="1" applyFill="1" applyBorder="1"/>
    <xf numFmtId="165" fontId="6" fillId="3" borderId="4" xfId="1" applyFont="1" applyFill="1" applyBorder="1"/>
    <xf numFmtId="0" fontId="6" fillId="0" borderId="31" xfId="0" applyFont="1" applyBorder="1" applyAlignment="1">
      <alignment horizontal="left" indent="1"/>
    </xf>
    <xf numFmtId="165" fontId="6" fillId="0" borderId="30" xfId="1" applyFont="1" applyBorder="1" applyAlignment="1">
      <alignment horizontal="left" indent="1"/>
    </xf>
    <xf numFmtId="165" fontId="7" fillId="0" borderId="30" xfId="1" applyFont="1" applyBorder="1" applyAlignment="1">
      <alignment horizontal="left" indent="1"/>
    </xf>
    <xf numFmtId="0" fontId="9" fillId="2" borderId="24" xfId="0" applyFont="1" applyFill="1" applyBorder="1" applyAlignment="1">
      <alignment horizontal="left"/>
    </xf>
    <xf numFmtId="0" fontId="9" fillId="2" borderId="21" xfId="0" applyFont="1" applyFill="1" applyBorder="1" applyAlignment="1">
      <alignment horizontal="left"/>
    </xf>
    <xf numFmtId="0" fontId="9" fillId="2" borderId="7" xfId="0" applyFont="1" applyFill="1" applyBorder="1" applyAlignment="1">
      <alignment horizontal="left"/>
    </xf>
    <xf numFmtId="0" fontId="11" fillId="0" borderId="0" xfId="0" applyFont="1"/>
    <xf numFmtId="168" fontId="11" fillId="0" borderId="0" xfId="2" applyNumberFormat="1" applyFont="1"/>
    <xf numFmtId="0" fontId="9" fillId="2" borderId="22" xfId="0" applyFont="1" applyFill="1" applyBorder="1" applyAlignment="1">
      <alignment horizontal="center"/>
    </xf>
    <xf numFmtId="168" fontId="11" fillId="0" borderId="0" xfId="2" applyNumberFormat="1" applyFont="1" applyAlignment="1">
      <alignment horizontal="center"/>
    </xf>
    <xf numFmtId="165" fontId="11" fillId="0" borderId="0" xfId="1" applyFont="1" applyAlignment="1">
      <alignment horizontal="center"/>
    </xf>
    <xf numFmtId="165" fontId="6" fillId="0" borderId="7" xfId="1" applyFont="1" applyBorder="1" applyAlignment="1">
      <alignment horizontal="right" vertical="center"/>
    </xf>
    <xf numFmtId="165" fontId="7" fillId="0" borderId="29" xfId="1" applyFont="1" applyBorder="1"/>
    <xf numFmtId="165" fontId="6" fillId="0" borderId="0" xfId="1" applyFont="1" applyBorder="1" applyAlignment="1">
      <alignment horizontal="right" vertical="center"/>
    </xf>
    <xf numFmtId="0" fontId="7" fillId="4" borderId="3" xfId="0" applyFont="1" applyFill="1" applyBorder="1" applyAlignment="1">
      <alignment horizontal="left" indent="1"/>
    </xf>
    <xf numFmtId="165" fontId="6" fillId="4" borderId="4" xfId="1" applyFont="1" applyFill="1" applyBorder="1"/>
    <xf numFmtId="165" fontId="6" fillId="0" borderId="26" xfId="1" applyFont="1" applyBorder="1"/>
    <xf numFmtId="169" fontId="4" fillId="2" borderId="12" xfId="0" applyNumberFormat="1" applyFont="1" applyFill="1" applyBorder="1" applyAlignment="1">
      <alignment horizontal="center"/>
    </xf>
    <xf numFmtId="0" fontId="3" fillId="0" borderId="33" xfId="0" applyFont="1" applyBorder="1"/>
    <xf numFmtId="0" fontId="6" fillId="0" borderId="8" xfId="0" applyFont="1" applyBorder="1" applyAlignment="1">
      <alignment horizontal="left"/>
    </xf>
    <xf numFmtId="0" fontId="7" fillId="0" borderId="38" xfId="0" applyFont="1" applyBorder="1" applyAlignment="1">
      <alignment horizontal="left" indent="2"/>
    </xf>
    <xf numFmtId="165" fontId="7" fillId="0" borderId="39" xfId="1" applyFont="1" applyBorder="1"/>
    <xf numFmtId="165" fontId="7" fillId="0" borderId="40" xfId="1" applyFont="1" applyBorder="1"/>
    <xf numFmtId="0" fontId="12" fillId="7" borderId="0" xfId="0" applyFont="1" applyFill="1"/>
    <xf numFmtId="0" fontId="5" fillId="3" borderId="35" xfId="0" applyFont="1" applyFill="1" applyBorder="1"/>
    <xf numFmtId="0" fontId="5" fillId="0" borderId="41" xfId="0" applyFont="1" applyBorder="1" applyAlignment="1">
      <alignment horizontal="left" indent="2"/>
    </xf>
    <xf numFmtId="0" fontId="5" fillId="4" borderId="7" xfId="0" applyFont="1" applyFill="1" applyBorder="1" applyAlignment="1">
      <alignment horizontal="left" indent="1"/>
    </xf>
    <xf numFmtId="0" fontId="5" fillId="0" borderId="32" xfId="0" applyFont="1" applyBorder="1" applyAlignment="1">
      <alignment horizontal="left" indent="2"/>
    </xf>
    <xf numFmtId="0" fontId="5" fillId="4" borderId="32" xfId="0" applyFont="1" applyFill="1" applyBorder="1" applyAlignment="1">
      <alignment horizontal="left" indent="1"/>
    </xf>
    <xf numFmtId="0" fontId="5" fillId="0" borderId="38" xfId="0" applyFont="1" applyBorder="1" applyAlignment="1">
      <alignment horizontal="left" indent="2"/>
    </xf>
    <xf numFmtId="164" fontId="5" fillId="0" borderId="39" xfId="0" applyNumberFormat="1" applyFont="1" applyBorder="1"/>
    <xf numFmtId="164" fontId="5" fillId="0" borderId="40" xfId="0" applyNumberFormat="1" applyFont="1" applyBorder="1"/>
    <xf numFmtId="0" fontId="4" fillId="2" borderId="22" xfId="0" applyFont="1" applyFill="1" applyBorder="1"/>
    <xf numFmtId="165" fontId="4" fillId="2" borderId="23" xfId="1" applyFont="1" applyFill="1" applyBorder="1" applyAlignment="1">
      <alignment horizontal="center"/>
    </xf>
    <xf numFmtId="0" fontId="4" fillId="2" borderId="24" xfId="0" applyFont="1" applyFill="1" applyBorder="1"/>
    <xf numFmtId="165" fontId="4" fillId="2" borderId="25" xfId="1" applyFont="1" applyFill="1" applyBorder="1" applyAlignment="1">
      <alignment horizontal="center"/>
    </xf>
    <xf numFmtId="0" fontId="4" fillId="2" borderId="6" xfId="0" applyFont="1" applyFill="1" applyBorder="1"/>
    <xf numFmtId="165" fontId="4" fillId="2" borderId="9" xfId="1" applyFont="1" applyFill="1" applyBorder="1" applyAlignment="1">
      <alignment horizontal="center"/>
    </xf>
    <xf numFmtId="0" fontId="4" fillId="2" borderId="8" xfId="0" applyFont="1" applyFill="1" applyBorder="1"/>
    <xf numFmtId="0" fontId="4" fillId="2" borderId="5" xfId="0" applyFont="1" applyFill="1" applyBorder="1"/>
    <xf numFmtId="0" fontId="4" fillId="2" borderId="44" xfId="0" applyFont="1" applyFill="1" applyBorder="1"/>
    <xf numFmtId="0" fontId="5" fillId="3" borderId="45" xfId="0" applyFont="1" applyFill="1" applyBorder="1" applyAlignment="1">
      <alignment horizontal="left"/>
    </xf>
    <xf numFmtId="0" fontId="5" fillId="0" borderId="38" xfId="0" applyFont="1" applyBorder="1" applyAlignment="1">
      <alignment horizontal="left"/>
    </xf>
    <xf numFmtId="0" fontId="3" fillId="3" borderId="36" xfId="0" applyFont="1" applyFill="1" applyBorder="1"/>
    <xf numFmtId="0" fontId="3" fillId="3" borderId="37" xfId="0" applyFont="1" applyFill="1" applyBorder="1"/>
    <xf numFmtId="0" fontId="3" fillId="0" borderId="7" xfId="0" applyFont="1" applyBorder="1" applyAlignment="1">
      <alignment horizontal="left" indent="2"/>
    </xf>
    <xf numFmtId="2" fontId="3" fillId="0" borderId="10" xfId="0" applyNumberFormat="1" applyFont="1" applyBorder="1" applyAlignment="1">
      <alignment horizontal="right"/>
    </xf>
    <xf numFmtId="0" fontId="3" fillId="0" borderId="13" xfId="0" applyFont="1" applyBorder="1"/>
    <xf numFmtId="2" fontId="5" fillId="0" borderId="13" xfId="0" applyNumberFormat="1" applyFont="1" applyBorder="1" applyAlignment="1">
      <alignment horizontal="right" vertical="center"/>
    </xf>
    <xf numFmtId="2" fontId="5" fillId="0" borderId="42" xfId="0" applyNumberFormat="1" applyFont="1" applyBorder="1" applyAlignment="1">
      <alignment horizontal="right" vertical="center"/>
    </xf>
    <xf numFmtId="0" fontId="3" fillId="0" borderId="39" xfId="0" applyFont="1" applyBorder="1"/>
    <xf numFmtId="165" fontId="3" fillId="0" borderId="39" xfId="1" applyFont="1" applyBorder="1"/>
    <xf numFmtId="165" fontId="3" fillId="0" borderId="40" xfId="1" applyFont="1" applyBorder="1"/>
    <xf numFmtId="0" fontId="3" fillId="3" borderId="46" xfId="0" applyFont="1" applyFill="1" applyBorder="1"/>
    <xf numFmtId="0" fontId="3" fillId="3" borderId="47" xfId="0" applyFont="1" applyFill="1" applyBorder="1"/>
    <xf numFmtId="0" fontId="3" fillId="4" borderId="10" xfId="0" applyFont="1" applyFill="1" applyBorder="1"/>
    <xf numFmtId="0" fontId="3" fillId="0" borderId="10" xfId="0" applyFont="1" applyBorder="1"/>
    <xf numFmtId="0" fontId="3" fillId="0" borderId="14" xfId="0" applyFont="1" applyBorder="1"/>
    <xf numFmtId="0" fontId="3" fillId="0" borderId="43" xfId="0" applyFont="1" applyBorder="1"/>
    <xf numFmtId="0" fontId="3" fillId="0" borderId="7" xfId="0" applyFont="1" applyBorder="1" applyAlignment="1">
      <alignment horizontal="left" indent="1"/>
    </xf>
    <xf numFmtId="0" fontId="3" fillId="4" borderId="14" xfId="0" applyFont="1" applyFill="1" applyBorder="1"/>
    <xf numFmtId="0" fontId="3" fillId="4" borderId="43" xfId="0" applyFont="1" applyFill="1" applyBorder="1"/>
    <xf numFmtId="165" fontId="3" fillId="0" borderId="0" xfId="1" applyFont="1" applyBorder="1"/>
    <xf numFmtId="165" fontId="3" fillId="0" borderId="10" xfId="1" applyFont="1" applyBorder="1"/>
    <xf numFmtId="169" fontId="10" fillId="0" borderId="30" xfId="0" applyNumberFormat="1" applyFont="1" applyBorder="1"/>
    <xf numFmtId="1" fontId="10" fillId="0" borderId="30" xfId="0" applyNumberFormat="1" applyFont="1" applyBorder="1"/>
    <xf numFmtId="2" fontId="6" fillId="0" borderId="27" xfId="1" applyNumberFormat="1" applyFont="1" applyBorder="1"/>
    <xf numFmtId="0" fontId="5" fillId="3" borderId="51" xfId="0" applyFont="1" applyFill="1" applyBorder="1" applyAlignment="1">
      <alignment horizontal="center"/>
    </xf>
    <xf numFmtId="0" fontId="5" fillId="3" borderId="52" xfId="0" applyFont="1" applyFill="1" applyBorder="1" applyAlignment="1">
      <alignment horizontal="center"/>
    </xf>
    <xf numFmtId="0" fontId="5" fillId="3" borderId="53" xfId="0" applyFont="1" applyFill="1" applyBorder="1"/>
    <xf numFmtId="169" fontId="3" fillId="0" borderId="34" xfId="0" applyNumberFormat="1" applyFont="1" applyBorder="1"/>
    <xf numFmtId="0" fontId="3" fillId="0" borderId="34" xfId="0" applyFont="1" applyBorder="1"/>
    <xf numFmtId="0" fontId="3" fillId="0" borderId="53" xfId="0" applyFont="1" applyBorder="1"/>
    <xf numFmtId="0" fontId="5" fillId="3" borderId="1" xfId="0" applyFont="1" applyFill="1" applyBorder="1" applyAlignment="1">
      <alignment horizontal="center"/>
    </xf>
    <xf numFmtId="168" fontId="3" fillId="0" borderId="2" xfId="2" applyNumberFormat="1" applyFont="1" applyBorder="1"/>
    <xf numFmtId="9" fontId="6" fillId="0" borderId="30" xfId="1" applyNumberFormat="1" applyFont="1" applyBorder="1"/>
    <xf numFmtId="167" fontId="6" fillId="0" borderId="27" xfId="1" applyNumberFormat="1" applyFont="1" applyBorder="1" applyAlignment="1">
      <alignment horizontal="right" vertical="center"/>
    </xf>
    <xf numFmtId="165" fontId="6" fillId="6" borderId="30" xfId="1" applyFont="1" applyFill="1" applyBorder="1"/>
    <xf numFmtId="165" fontId="7" fillId="0" borderId="30" xfId="1" applyFont="1" applyBorder="1" applyAlignment="1">
      <alignment horizontal="left" wrapText="1" indent="2"/>
    </xf>
    <xf numFmtId="165" fontId="7" fillId="0" borderId="0" xfId="1" applyFont="1" applyBorder="1" applyAlignment="1">
      <alignment horizontal="left" indent="2"/>
    </xf>
    <xf numFmtId="165" fontId="7" fillId="0" borderId="0" xfId="1" applyFont="1" applyBorder="1" applyAlignment="1">
      <alignment horizontal="center" vertical="center"/>
    </xf>
    <xf numFmtId="165" fontId="6" fillId="0" borderId="30" xfId="1" applyFont="1" applyBorder="1" applyAlignment="1">
      <alignment horizontal="center" vertical="center"/>
    </xf>
    <xf numFmtId="165" fontId="6" fillId="0" borderId="30" xfId="1" applyFont="1" applyBorder="1" applyAlignment="1">
      <alignment horizontal="left" indent="2"/>
    </xf>
    <xf numFmtId="9" fontId="7" fillId="0" borderId="30" xfId="3" applyFont="1" applyBorder="1" applyAlignment="1">
      <alignment horizontal="center" vertical="center" wrapText="1"/>
    </xf>
    <xf numFmtId="165" fontId="7" fillId="0" borderId="0" xfId="1" applyFont="1" applyFill="1" applyBorder="1" applyAlignment="1">
      <alignment horizontal="left" indent="1"/>
    </xf>
    <xf numFmtId="0" fontId="13" fillId="0" borderId="0" xfId="0" applyFont="1" applyAlignment="1">
      <alignment horizontal="left" vertical="center" indent="1"/>
    </xf>
    <xf numFmtId="0" fontId="13" fillId="0" borderId="0" xfId="0" applyFont="1" applyAlignment="1">
      <alignment horizontal="left" vertical="center" indent="2"/>
    </xf>
    <xf numFmtId="0" fontId="13" fillId="0" borderId="0" xfId="0" applyFont="1" applyAlignment="1">
      <alignment horizontal="left" vertical="center" indent="3"/>
    </xf>
    <xf numFmtId="0" fontId="0" fillId="0" borderId="0" xfId="0" applyAlignment="1">
      <alignment horizontal="left"/>
    </xf>
    <xf numFmtId="0" fontId="0" fillId="0" borderId="0" xfId="0" applyAlignment="1">
      <alignment horizontal="center"/>
    </xf>
    <xf numFmtId="165" fontId="0" fillId="0" borderId="0" xfId="1" applyFont="1"/>
    <xf numFmtId="165" fontId="15" fillId="0" borderId="27" xfId="1" applyFont="1" applyBorder="1" applyAlignment="1">
      <alignment horizontal="right" vertical="center"/>
    </xf>
    <xf numFmtId="0" fontId="14" fillId="8" borderId="0" xfId="0" quotePrefix="1" applyFont="1" applyFill="1" applyAlignment="1">
      <alignment horizontal="right"/>
    </xf>
    <xf numFmtId="0" fontId="14" fillId="8" borderId="0" xfId="0" applyFont="1" applyFill="1"/>
    <xf numFmtId="167" fontId="14" fillId="8" borderId="0" xfId="0" applyNumberFormat="1" applyFont="1" applyFill="1"/>
    <xf numFmtId="0" fontId="14" fillId="9" borderId="0" xfId="0" applyFont="1" applyFill="1"/>
    <xf numFmtId="167" fontId="14" fillId="9" borderId="0" xfId="0" applyNumberFormat="1" applyFont="1" applyFill="1"/>
    <xf numFmtId="165" fontId="14" fillId="8" borderId="0" xfId="1" applyFont="1" applyFill="1"/>
    <xf numFmtId="165" fontId="14" fillId="9" borderId="0" xfId="1" applyFont="1" applyFill="1"/>
    <xf numFmtId="2" fontId="3" fillId="0" borderId="0" xfId="0" applyNumberFormat="1" applyFont="1" applyAlignment="1">
      <alignment horizontal="right"/>
    </xf>
    <xf numFmtId="0" fontId="3" fillId="4" borderId="0" xfId="0" applyFont="1" applyFill="1"/>
    <xf numFmtId="164" fontId="3" fillId="0" borderId="0" xfId="0" applyNumberFormat="1" applyFont="1"/>
    <xf numFmtId="164" fontId="3" fillId="0" borderId="0" xfId="0" applyNumberFormat="1" applyFont="1" applyAlignment="1">
      <alignment horizontal="right" vertical="center"/>
    </xf>
    <xf numFmtId="0" fontId="10" fillId="5" borderId="44" xfId="0" applyFont="1" applyFill="1" applyBorder="1" applyAlignment="1">
      <alignment horizontal="center"/>
    </xf>
    <xf numFmtId="0" fontId="10" fillId="0" borderId="54" xfId="0" applyFont="1" applyBorder="1"/>
    <xf numFmtId="0" fontId="9" fillId="2" borderId="44" xfId="0" applyFont="1" applyFill="1" applyBorder="1" applyAlignment="1">
      <alignment horizontal="center"/>
    </xf>
    <xf numFmtId="2" fontId="10" fillId="0" borderId="54" xfId="0" applyNumberFormat="1" applyFont="1" applyBorder="1"/>
    <xf numFmtId="0" fontId="10" fillId="0" borderId="2" xfId="0" applyFont="1" applyBorder="1"/>
    <xf numFmtId="0" fontId="8" fillId="0" borderId="0" xfId="0" applyFont="1" applyAlignment="1">
      <alignment horizontal="center"/>
    </xf>
    <xf numFmtId="170" fontId="0" fillId="0" borderId="0" xfId="0" applyNumberFormat="1"/>
    <xf numFmtId="9" fontId="0" fillId="0" borderId="0" xfId="0" applyNumberFormat="1"/>
    <xf numFmtId="0" fontId="19" fillId="0" borderId="0" xfId="0" applyFont="1" applyAlignment="1">
      <alignment horizontal="center"/>
    </xf>
    <xf numFmtId="165" fontId="19" fillId="0" borderId="0" xfId="1" applyFont="1"/>
    <xf numFmtId="0" fontId="20" fillId="0" borderId="0" xfId="0" applyFont="1" applyAlignment="1">
      <alignment horizontal="left" vertical="center" indent="1"/>
    </xf>
    <xf numFmtId="171" fontId="3" fillId="0" borderId="2" xfId="0" applyNumberFormat="1" applyFont="1" applyBorder="1"/>
    <xf numFmtId="9" fontId="21" fillId="7" borderId="30" xfId="1" applyNumberFormat="1" applyFont="1" applyFill="1" applyBorder="1" applyAlignment="1">
      <alignment horizontal="center"/>
    </xf>
    <xf numFmtId="9" fontId="19" fillId="0" borderId="0" xfId="0" applyNumberFormat="1" applyFont="1" applyAlignment="1">
      <alignment horizontal="center"/>
    </xf>
    <xf numFmtId="172" fontId="11" fillId="0" borderId="0" xfId="1" applyNumberFormat="1" applyFont="1" applyAlignment="1">
      <alignment horizontal="center"/>
    </xf>
    <xf numFmtId="169" fontId="10" fillId="10" borderId="30" xfId="0" applyNumberFormat="1" applyFont="1" applyFill="1" applyBorder="1"/>
    <xf numFmtId="17" fontId="8" fillId="0" borderId="0" xfId="0" applyNumberFormat="1" applyFont="1"/>
    <xf numFmtId="165" fontId="7" fillId="0" borderId="38" xfId="1" applyFont="1" applyBorder="1"/>
    <xf numFmtId="165" fontId="6" fillId="0" borderId="55" xfId="1" applyFont="1" applyBorder="1"/>
    <xf numFmtId="0" fontId="9" fillId="2" borderId="3" xfId="0" applyFont="1" applyFill="1" applyBorder="1" applyAlignment="1">
      <alignment horizontal="left"/>
    </xf>
    <xf numFmtId="0" fontId="9" fillId="2" borderId="8" xfId="0" applyFont="1" applyFill="1" applyBorder="1" applyAlignment="1">
      <alignment horizontal="center"/>
    </xf>
    <xf numFmtId="0" fontId="10" fillId="0" borderId="33" xfId="0" applyFont="1" applyBorder="1"/>
    <xf numFmtId="1" fontId="10" fillId="0" borderId="33" xfId="0" applyNumberFormat="1" applyFont="1" applyBorder="1"/>
    <xf numFmtId="2" fontId="10" fillId="0" borderId="33" xfId="0" applyNumberFormat="1" applyFont="1" applyBorder="1"/>
    <xf numFmtId="169" fontId="10" fillId="10" borderId="33" xfId="0" applyNumberFormat="1" applyFont="1" applyFill="1" applyBorder="1"/>
    <xf numFmtId="2" fontId="7" fillId="0" borderId="30" xfId="1" applyNumberFormat="1" applyFont="1" applyBorder="1" applyAlignment="1">
      <alignment horizontal="center" vertical="center"/>
    </xf>
    <xf numFmtId="9" fontId="7" fillId="0" borderId="56" xfId="3" applyFont="1" applyBorder="1" applyAlignment="1">
      <alignment horizontal="center" vertical="center" wrapText="1"/>
    </xf>
    <xf numFmtId="2" fontId="7" fillId="0" borderId="56" xfId="1" applyNumberFormat="1" applyFont="1" applyBorder="1" applyAlignment="1">
      <alignment horizontal="center" vertical="center"/>
    </xf>
    <xf numFmtId="173" fontId="7" fillId="0" borderId="57" xfId="1" applyNumberFormat="1" applyFont="1" applyBorder="1" applyAlignment="1">
      <alignment horizontal="left" wrapText="1"/>
    </xf>
    <xf numFmtId="9" fontId="7" fillId="0" borderId="58" xfId="3" applyFont="1" applyBorder="1" applyAlignment="1">
      <alignment horizontal="center" vertical="center" wrapText="1"/>
    </xf>
    <xf numFmtId="165" fontId="7" fillId="0" borderId="58" xfId="1" applyFont="1" applyBorder="1" applyAlignment="1">
      <alignment horizontal="center" vertical="center"/>
    </xf>
    <xf numFmtId="165" fontId="7" fillId="0" borderId="59" xfId="1" applyFont="1" applyBorder="1" applyAlignment="1">
      <alignment horizontal="center" vertical="center"/>
    </xf>
    <xf numFmtId="0" fontId="0" fillId="7" borderId="0" xfId="0" applyFill="1"/>
    <xf numFmtId="0" fontId="0" fillId="0" borderId="0" xfId="0" quotePrefix="1"/>
    <xf numFmtId="0" fontId="6" fillId="0" borderId="62" xfId="0" applyFont="1" applyBorder="1" applyAlignment="1">
      <alignment horizontal="left" indent="2"/>
    </xf>
    <xf numFmtId="1" fontId="6" fillId="0" borderId="61" xfId="1" applyNumberFormat="1" applyFont="1" applyBorder="1" applyAlignment="1">
      <alignment horizontal="center" vertical="center"/>
    </xf>
    <xf numFmtId="1" fontId="6" fillId="0" borderId="31" xfId="1" applyNumberFormat="1" applyFont="1" applyBorder="1" applyAlignment="1">
      <alignment horizontal="center" vertical="center"/>
    </xf>
    <xf numFmtId="1" fontId="9" fillId="2" borderId="63" xfId="1" applyNumberFormat="1" applyFont="1" applyFill="1" applyBorder="1" applyAlignment="1">
      <alignment horizontal="center"/>
    </xf>
    <xf numFmtId="174" fontId="9" fillId="2" borderId="63" xfId="3" applyNumberFormat="1" applyFont="1" applyFill="1" applyBorder="1" applyAlignment="1">
      <alignment horizontal="center"/>
    </xf>
    <xf numFmtId="165" fontId="6" fillId="0" borderId="62" xfId="1" applyFont="1" applyBorder="1" applyAlignment="1">
      <alignment horizontal="left" indent="1"/>
    </xf>
    <xf numFmtId="165" fontId="6" fillId="0" borderId="61" xfId="1" applyFont="1" applyBorder="1" applyAlignment="1">
      <alignment horizontal="center" vertical="center"/>
    </xf>
    <xf numFmtId="165" fontId="6" fillId="0" borderId="31" xfId="1" applyFont="1" applyBorder="1" applyAlignment="1">
      <alignment horizontal="center" vertical="center"/>
    </xf>
    <xf numFmtId="1" fontId="10" fillId="0" borderId="1" xfId="0" applyNumberFormat="1" applyFont="1" applyBorder="1"/>
    <xf numFmtId="2" fontId="7" fillId="0" borderId="58" xfId="1" applyNumberFormat="1" applyFont="1" applyBorder="1" applyAlignment="1">
      <alignment horizontal="center" vertical="center"/>
    </xf>
    <xf numFmtId="165" fontId="7" fillId="0" borderId="0" xfId="1" applyFont="1" applyAlignment="1">
      <alignment horizontal="center" vertical="center"/>
    </xf>
    <xf numFmtId="165" fontId="7" fillId="0" borderId="6" xfId="1" applyFont="1" applyBorder="1" applyAlignment="1">
      <alignment horizontal="left" indent="1"/>
    </xf>
    <xf numFmtId="9" fontId="7" fillId="0" borderId="0" xfId="3" applyFont="1" applyBorder="1" applyAlignment="1">
      <alignment horizontal="center" vertical="center"/>
    </xf>
    <xf numFmtId="165" fontId="0" fillId="0" borderId="0" xfId="0" applyNumberFormat="1"/>
    <xf numFmtId="175" fontId="0" fillId="0" borderId="0" xfId="0" applyNumberFormat="1"/>
    <xf numFmtId="0" fontId="23" fillId="0" borderId="0" xfId="9" applyBorder="1" applyAlignment="1">
      <alignment horizontal="center"/>
    </xf>
    <xf numFmtId="0" fontId="9" fillId="2" borderId="24" xfId="0" applyFont="1" applyFill="1" applyBorder="1" applyAlignment="1">
      <alignment horizontal="center"/>
    </xf>
    <xf numFmtId="0" fontId="9" fillId="2" borderId="3" xfId="0" applyFont="1" applyFill="1" applyBorder="1" applyAlignment="1">
      <alignment horizontal="center"/>
    </xf>
    <xf numFmtId="174" fontId="9" fillId="2" borderId="21" xfId="3" applyNumberFormat="1" applyFont="1" applyFill="1" applyBorder="1" applyAlignment="1">
      <alignment horizontal="center"/>
    </xf>
    <xf numFmtId="10" fontId="9" fillId="2" borderId="63" xfId="3" applyNumberFormat="1" applyFont="1" applyFill="1" applyBorder="1" applyAlignment="1">
      <alignment horizontal="center"/>
    </xf>
    <xf numFmtId="2" fontId="6" fillId="0" borderId="30" xfId="1" applyNumberFormat="1" applyFont="1" applyBorder="1" applyAlignment="1">
      <alignment horizontal="center" vertical="center"/>
    </xf>
    <xf numFmtId="17" fontId="21" fillId="7" borderId="0" xfId="0" applyNumberFormat="1" applyFont="1" applyFill="1"/>
    <xf numFmtId="10" fontId="9" fillId="2" borderId="26" xfId="3" applyNumberFormat="1" applyFont="1" applyFill="1" applyBorder="1" applyAlignment="1">
      <alignment horizontal="center"/>
    </xf>
    <xf numFmtId="165" fontId="19" fillId="0" borderId="9" xfId="1" applyFont="1" applyBorder="1"/>
    <xf numFmtId="0" fontId="10" fillId="7" borderId="30" xfId="0" applyFont="1" applyFill="1" applyBorder="1"/>
    <xf numFmtId="1" fontId="10" fillId="7" borderId="30" xfId="0" applyNumberFormat="1" applyFont="1" applyFill="1" applyBorder="1"/>
    <xf numFmtId="2" fontId="10" fillId="7" borderId="30" xfId="0" applyNumberFormat="1" applyFont="1" applyFill="1" applyBorder="1"/>
    <xf numFmtId="169" fontId="10" fillId="7" borderId="30" xfId="0" applyNumberFormat="1" applyFont="1" applyFill="1" applyBorder="1"/>
    <xf numFmtId="1" fontId="10" fillId="7" borderId="1" xfId="0" applyNumberFormat="1" applyFont="1" applyFill="1" applyBorder="1"/>
    <xf numFmtId="165" fontId="6" fillId="5" borderId="14" xfId="1" applyFont="1" applyFill="1" applyBorder="1"/>
    <xf numFmtId="165" fontId="6" fillId="5" borderId="0" xfId="1" applyFont="1" applyFill="1"/>
    <xf numFmtId="165" fontId="6" fillId="7" borderId="27" xfId="1" applyFont="1" applyFill="1" applyBorder="1"/>
    <xf numFmtId="165" fontId="6" fillId="7" borderId="27" xfId="1" applyFont="1" applyFill="1" applyBorder="1" applyAlignment="1">
      <alignment horizontal="right" vertical="center"/>
    </xf>
    <xf numFmtId="165" fontId="7" fillId="7" borderId="28" xfId="1" applyFont="1" applyFill="1" applyBorder="1"/>
    <xf numFmtId="165" fontId="6" fillId="7" borderId="0" xfId="1" applyFont="1" applyFill="1"/>
    <xf numFmtId="165" fontId="6" fillId="5" borderId="4" xfId="1" applyFont="1" applyFill="1" applyBorder="1"/>
    <xf numFmtId="165" fontId="6" fillId="7" borderId="26" xfId="1" applyFont="1" applyFill="1" applyBorder="1"/>
    <xf numFmtId="165" fontId="7" fillId="7" borderId="39" xfId="1" applyFont="1" applyFill="1" applyBorder="1"/>
    <xf numFmtId="1" fontId="6" fillId="7" borderId="31" xfId="1" applyNumberFormat="1" applyFont="1" applyFill="1" applyBorder="1" applyAlignment="1">
      <alignment horizontal="center" vertical="center"/>
    </xf>
    <xf numFmtId="165" fontId="6" fillId="7" borderId="31" xfId="1" applyFont="1" applyFill="1" applyBorder="1" applyAlignment="1">
      <alignment horizontal="center" vertical="center"/>
    </xf>
    <xf numFmtId="2" fontId="6" fillId="7" borderId="31" xfId="1" applyNumberFormat="1" applyFont="1" applyFill="1" applyBorder="1" applyAlignment="1">
      <alignment horizontal="center" vertical="center"/>
    </xf>
    <xf numFmtId="165" fontId="6" fillId="7" borderId="30" xfId="1" applyFont="1" applyFill="1" applyBorder="1" applyAlignment="1">
      <alignment horizontal="center" vertical="center"/>
    </xf>
    <xf numFmtId="165" fontId="7" fillId="7" borderId="0" xfId="1" applyFont="1" applyFill="1" applyAlignment="1">
      <alignment horizontal="center" vertical="center"/>
    </xf>
    <xf numFmtId="2" fontId="6" fillId="7" borderId="30" xfId="1" applyNumberFormat="1" applyFont="1" applyFill="1" applyBorder="1" applyAlignment="1">
      <alignment horizontal="center" vertical="center"/>
    </xf>
    <xf numFmtId="2" fontId="7" fillId="7" borderId="56" xfId="1" applyNumberFormat="1" applyFont="1" applyFill="1" applyBorder="1" applyAlignment="1">
      <alignment horizontal="center" vertical="center"/>
    </xf>
    <xf numFmtId="2" fontId="7" fillId="7" borderId="58" xfId="1" applyNumberFormat="1" applyFont="1" applyFill="1" applyBorder="1" applyAlignment="1">
      <alignment horizontal="center" vertical="center"/>
    </xf>
    <xf numFmtId="44" fontId="0" fillId="7" borderId="0" xfId="0" applyNumberFormat="1" applyFill="1"/>
    <xf numFmtId="0" fontId="10" fillId="5" borderId="5" xfId="0" applyFont="1" applyFill="1" applyBorder="1" applyAlignment="1">
      <alignment horizontal="center"/>
    </xf>
    <xf numFmtId="165" fontId="9" fillId="2" borderId="26" xfId="1" applyFont="1" applyFill="1" applyBorder="1" applyAlignment="1">
      <alignment horizontal="left"/>
    </xf>
    <xf numFmtId="0" fontId="9" fillId="2" borderId="30" xfId="0" applyFont="1" applyFill="1" applyBorder="1"/>
    <xf numFmtId="165" fontId="9" fillId="2" borderId="30" xfId="1" applyFont="1" applyFill="1" applyBorder="1" applyAlignment="1">
      <alignment horizontal="center"/>
    </xf>
    <xf numFmtId="2" fontId="6" fillId="0" borderId="56" xfId="1" applyNumberFormat="1" applyFont="1" applyBorder="1" applyAlignment="1">
      <alignment horizontal="center" vertical="center"/>
    </xf>
    <xf numFmtId="165" fontId="7" fillId="0" borderId="56" xfId="1" applyFont="1" applyBorder="1" applyAlignment="1">
      <alignment horizontal="center" vertical="center"/>
    </xf>
    <xf numFmtId="2" fontId="6" fillId="7" borderId="56" xfId="1" applyNumberFormat="1" applyFont="1" applyFill="1" applyBorder="1" applyAlignment="1">
      <alignment horizontal="center" vertical="center"/>
    </xf>
    <xf numFmtId="9" fontId="7" fillId="0" borderId="31" xfId="3" applyFont="1" applyBorder="1" applyAlignment="1">
      <alignment horizontal="center" vertical="center" wrapText="1"/>
    </xf>
    <xf numFmtId="165" fontId="7" fillId="0" borderId="31" xfId="1" applyFont="1" applyBorder="1" applyAlignment="1">
      <alignment horizontal="center" vertical="center"/>
    </xf>
    <xf numFmtId="165" fontId="7" fillId="7" borderId="31" xfId="1" applyFont="1" applyFill="1" applyBorder="1" applyAlignment="1">
      <alignment horizontal="center" vertical="center"/>
    </xf>
    <xf numFmtId="165" fontId="7" fillId="0" borderId="51" xfId="1" applyFont="1" applyBorder="1" applyAlignment="1">
      <alignment horizontal="left" wrapText="1" indent="2"/>
    </xf>
    <xf numFmtId="9" fontId="7" fillId="0" borderId="52" xfId="3" applyFont="1" applyBorder="1" applyAlignment="1">
      <alignment horizontal="center" vertical="center" wrapText="1"/>
    </xf>
    <xf numFmtId="165" fontId="7" fillId="0" borderId="52" xfId="1" applyFont="1" applyBorder="1" applyAlignment="1">
      <alignment horizontal="center" vertical="center"/>
    </xf>
    <xf numFmtId="165" fontId="7" fillId="7" borderId="52" xfId="1" applyFont="1" applyFill="1" applyBorder="1" applyAlignment="1">
      <alignment horizontal="center" vertical="center"/>
    </xf>
    <xf numFmtId="165" fontId="7" fillId="0" borderId="53" xfId="1" applyFont="1" applyBorder="1" applyAlignment="1">
      <alignment horizontal="center" vertical="center"/>
    </xf>
    <xf numFmtId="165" fontId="7" fillId="0" borderId="1" xfId="1" applyFont="1" applyBorder="1" applyAlignment="1">
      <alignment horizontal="left" wrapText="1" indent="2"/>
    </xf>
    <xf numFmtId="9" fontId="7" fillId="0" borderId="34" xfId="3" applyFont="1" applyBorder="1" applyAlignment="1">
      <alignment horizontal="center" vertical="center" wrapText="1"/>
    </xf>
    <xf numFmtId="2" fontId="7" fillId="0" borderId="34" xfId="1" applyNumberFormat="1" applyFont="1" applyBorder="1" applyAlignment="1">
      <alignment horizontal="center" vertical="center"/>
    </xf>
    <xf numFmtId="165" fontId="7" fillId="0" borderId="34" xfId="1" applyFont="1" applyBorder="1" applyAlignment="1">
      <alignment horizontal="center" vertical="center"/>
    </xf>
    <xf numFmtId="2" fontId="7" fillId="7" borderId="34" xfId="1" applyNumberFormat="1" applyFont="1" applyFill="1" applyBorder="1" applyAlignment="1">
      <alignment horizontal="center" vertical="center"/>
    </xf>
    <xf numFmtId="165" fontId="7" fillId="0" borderId="2" xfId="1" applyFont="1" applyBorder="1" applyAlignment="1">
      <alignment horizontal="center" vertical="center"/>
    </xf>
    <xf numFmtId="173" fontId="7" fillId="0" borderId="64" xfId="1" applyNumberFormat="1" applyFont="1" applyBorder="1" applyAlignment="1">
      <alignment horizontal="left" wrapText="1"/>
    </xf>
    <xf numFmtId="9" fontId="7" fillId="0" borderId="65" xfId="3" applyFont="1" applyBorder="1" applyAlignment="1">
      <alignment horizontal="center" vertical="center" wrapText="1"/>
    </xf>
    <xf numFmtId="165" fontId="7" fillId="0" borderId="65" xfId="1" applyFont="1" applyBorder="1" applyAlignment="1">
      <alignment horizontal="center" vertical="center"/>
    </xf>
    <xf numFmtId="165" fontId="7" fillId="0" borderId="66" xfId="1" applyFont="1" applyBorder="1" applyAlignment="1">
      <alignment horizontal="center" vertical="center"/>
    </xf>
    <xf numFmtId="2" fontId="7" fillId="0" borderId="2" xfId="1" applyNumberFormat="1" applyFont="1" applyBorder="1" applyAlignment="1">
      <alignment horizontal="center" vertical="center"/>
    </xf>
    <xf numFmtId="165" fontId="7" fillId="0" borderId="68" xfId="1" applyFont="1" applyBorder="1" applyAlignment="1">
      <alignment horizontal="center" vertical="center"/>
    </xf>
    <xf numFmtId="165" fontId="7" fillId="0" borderId="69" xfId="1" applyFont="1" applyBorder="1" applyAlignment="1">
      <alignment horizontal="left" wrapText="1" indent="2"/>
    </xf>
    <xf numFmtId="165" fontId="7" fillId="0" borderId="70" xfId="1" applyFont="1" applyBorder="1" applyAlignment="1">
      <alignment horizontal="center" vertical="center"/>
    </xf>
    <xf numFmtId="165" fontId="7" fillId="0" borderId="67" xfId="1" applyFont="1" applyBorder="1" applyAlignment="1">
      <alignment horizontal="left" wrapText="1" indent="2"/>
    </xf>
    <xf numFmtId="2" fontId="7" fillId="0" borderId="68" xfId="1" applyNumberFormat="1" applyFont="1" applyBorder="1" applyAlignment="1">
      <alignment horizontal="center" vertical="center"/>
    </xf>
    <xf numFmtId="176" fontId="21" fillId="7" borderId="58" xfId="1" applyNumberFormat="1" applyFont="1" applyFill="1" applyBorder="1" applyAlignment="1">
      <alignment horizontal="center"/>
    </xf>
    <xf numFmtId="165" fontId="6" fillId="0" borderId="58" xfId="1" applyFont="1" applyBorder="1" applyAlignment="1">
      <alignment horizontal="center" vertical="center"/>
    </xf>
    <xf numFmtId="165" fontId="6" fillId="7" borderId="58" xfId="1" applyFont="1" applyFill="1" applyBorder="1" applyAlignment="1">
      <alignment horizontal="center" vertical="center"/>
    </xf>
    <xf numFmtId="165" fontId="7" fillId="0" borderId="57" xfId="1" applyFont="1" applyBorder="1" applyAlignment="1">
      <alignment horizontal="left" indent="2"/>
    </xf>
    <xf numFmtId="165" fontId="7" fillId="0" borderId="69" xfId="1" applyFont="1" applyBorder="1" applyAlignment="1">
      <alignment horizontal="left" indent="2"/>
    </xf>
    <xf numFmtId="165" fontId="7" fillId="0" borderId="67" xfId="1" applyFont="1" applyBorder="1" applyAlignment="1">
      <alignment horizontal="left" indent="2"/>
    </xf>
    <xf numFmtId="2" fontId="7" fillId="0" borderId="28" xfId="1" applyNumberFormat="1" applyFont="1" applyBorder="1" applyAlignment="1">
      <alignment horizontal="center" vertical="center"/>
    </xf>
    <xf numFmtId="165" fontId="7" fillId="0" borderId="71" xfId="1" applyFont="1" applyBorder="1"/>
    <xf numFmtId="2" fontId="7" fillId="0" borderId="29" xfId="1" applyNumberFormat="1" applyFont="1" applyBorder="1" applyAlignment="1">
      <alignment horizontal="center" vertical="center"/>
    </xf>
    <xf numFmtId="0" fontId="0" fillId="0" borderId="30" xfId="0" applyBorder="1"/>
    <xf numFmtId="17" fontId="0" fillId="0" borderId="30" xfId="0" applyNumberFormat="1" applyBorder="1"/>
    <xf numFmtId="165" fontId="0" fillId="0" borderId="30" xfId="1" applyFont="1" applyBorder="1"/>
    <xf numFmtId="2" fontId="19" fillId="0" borderId="9" xfId="1" applyNumberFormat="1" applyFont="1" applyBorder="1" applyAlignment="1">
      <alignment horizontal="center"/>
    </xf>
    <xf numFmtId="2" fontId="21" fillId="0" borderId="30" xfId="1" applyNumberFormat="1" applyFont="1" applyFill="1" applyBorder="1" applyAlignment="1">
      <alignment horizontal="center"/>
    </xf>
    <xf numFmtId="176" fontId="21" fillId="0" borderId="30" xfId="1" applyNumberFormat="1" applyFont="1" applyFill="1" applyBorder="1" applyAlignment="1">
      <alignment horizontal="center"/>
    </xf>
    <xf numFmtId="0" fontId="9" fillId="2" borderId="3" xfId="0" applyFont="1" applyFill="1" applyBorder="1"/>
    <xf numFmtId="165" fontId="9" fillId="2" borderId="63" xfId="1" applyFont="1" applyFill="1" applyBorder="1" applyAlignment="1">
      <alignment horizontal="center"/>
    </xf>
    <xf numFmtId="165" fontId="9" fillId="2" borderId="55" xfId="1" applyFont="1" applyFill="1" applyBorder="1" applyAlignment="1">
      <alignment horizontal="center"/>
    </xf>
    <xf numFmtId="165" fontId="9" fillId="2" borderId="21" xfId="1" applyFont="1" applyFill="1" applyBorder="1" applyAlignment="1">
      <alignment horizontal="center"/>
    </xf>
    <xf numFmtId="0" fontId="9" fillId="2" borderId="21" xfId="0" applyFont="1" applyFill="1" applyBorder="1" applyAlignment="1">
      <alignment horizontal="center"/>
    </xf>
    <xf numFmtId="2" fontId="7" fillId="0" borderId="30" xfId="1" applyNumberFormat="1" applyFont="1" applyBorder="1" applyAlignment="1">
      <alignment horizontal="left" indent="2"/>
    </xf>
    <xf numFmtId="165" fontId="7" fillId="0" borderId="30" xfId="1" applyFont="1" applyBorder="1" applyAlignment="1">
      <alignment horizontal="left" indent="2"/>
    </xf>
    <xf numFmtId="165" fontId="9" fillId="2" borderId="21" xfId="1" applyFont="1" applyFill="1" applyBorder="1" applyAlignment="1">
      <alignment horizontal="left"/>
    </xf>
    <xf numFmtId="165" fontId="9" fillId="2" borderId="55" xfId="1" applyFont="1" applyFill="1" applyBorder="1" applyAlignment="1">
      <alignment horizontal="left"/>
    </xf>
    <xf numFmtId="165" fontId="9" fillId="2" borderId="55" xfId="1" applyFont="1" applyFill="1" applyBorder="1"/>
    <xf numFmtId="176" fontId="9" fillId="2" borderId="26" xfId="1" applyNumberFormat="1" applyFont="1" applyFill="1" applyBorder="1" applyAlignment="1">
      <alignment horizontal="center"/>
    </xf>
    <xf numFmtId="0" fontId="24" fillId="11" borderId="8" xfId="0" applyFont="1" applyFill="1" applyBorder="1" applyAlignment="1">
      <alignment horizontal="left" vertical="center"/>
    </xf>
    <xf numFmtId="0" fontId="24" fillId="11" borderId="5" xfId="0" applyFont="1" applyFill="1" applyBorder="1" applyAlignment="1">
      <alignment horizontal="left" vertical="center"/>
    </xf>
    <xf numFmtId="0" fontId="24" fillId="11" borderId="44" xfId="0" applyFont="1" applyFill="1" applyBorder="1" applyAlignment="1">
      <alignment horizontal="left" vertical="center"/>
    </xf>
    <xf numFmtId="0" fontId="24" fillId="11" borderId="7" xfId="0" applyFont="1" applyFill="1" applyBorder="1" applyAlignment="1">
      <alignment horizontal="left" vertical="center"/>
    </xf>
    <xf numFmtId="0" fontId="24" fillId="11" borderId="0" xfId="0" applyFont="1" applyFill="1" applyAlignment="1">
      <alignment horizontal="left" vertical="center"/>
    </xf>
    <xf numFmtId="0" fontId="24" fillId="11" borderId="10" xfId="0" applyFont="1" applyFill="1" applyBorder="1" applyAlignment="1">
      <alignment horizontal="left" vertical="center"/>
    </xf>
    <xf numFmtId="0" fontId="24" fillId="11" borderId="6" xfId="0" applyFont="1" applyFill="1" applyBorder="1" applyAlignment="1">
      <alignment horizontal="left" vertical="center"/>
    </xf>
    <xf numFmtId="0" fontId="24" fillId="11" borderId="50" xfId="0" applyFont="1" applyFill="1" applyBorder="1" applyAlignment="1">
      <alignment horizontal="left" vertical="center"/>
    </xf>
    <xf numFmtId="0" fontId="24" fillId="11" borderId="9" xfId="0" applyFont="1" applyFill="1" applyBorder="1" applyAlignment="1">
      <alignment horizontal="left" vertical="center"/>
    </xf>
    <xf numFmtId="0" fontId="7" fillId="3" borderId="3" xfId="0" applyFont="1" applyFill="1" applyBorder="1" applyAlignment="1">
      <alignment horizontal="left"/>
    </xf>
    <xf numFmtId="0" fontId="7" fillId="3" borderId="60" xfId="0" applyFont="1" applyFill="1" applyBorder="1" applyAlignment="1">
      <alignment horizontal="left"/>
    </xf>
    <xf numFmtId="0" fontId="8" fillId="0" borderId="7" xfId="0" quotePrefix="1" applyFont="1" applyBorder="1" applyAlignment="1">
      <alignment horizontal="center"/>
    </xf>
    <xf numFmtId="0" fontId="8" fillId="0" borderId="0" xfId="0" quotePrefix="1" applyFont="1" applyAlignment="1">
      <alignment horizontal="center"/>
    </xf>
    <xf numFmtId="0" fontId="8" fillId="0" borderId="10" xfId="0" quotePrefix="1" applyFont="1" applyBorder="1" applyAlignment="1">
      <alignment horizontal="center"/>
    </xf>
    <xf numFmtId="0" fontId="23" fillId="0" borderId="7" xfId="9" applyBorder="1" applyAlignment="1">
      <alignment horizontal="center"/>
    </xf>
    <xf numFmtId="0" fontId="23" fillId="0" borderId="0" xfId="9" applyBorder="1" applyAlignment="1">
      <alignment horizontal="center"/>
    </xf>
    <xf numFmtId="0" fontId="23" fillId="0" borderId="10" xfId="9" applyBorder="1" applyAlignment="1">
      <alignment horizontal="center"/>
    </xf>
    <xf numFmtId="0" fontId="23" fillId="0" borderId="6" xfId="9" applyBorder="1" applyAlignment="1">
      <alignment horizontal="center"/>
    </xf>
    <xf numFmtId="0" fontId="23" fillId="0" borderId="50" xfId="9" applyBorder="1" applyAlignment="1">
      <alignment horizontal="center"/>
    </xf>
    <xf numFmtId="0" fontId="23" fillId="0" borderId="9" xfId="9" applyBorder="1" applyAlignment="1">
      <alignment horizontal="center"/>
    </xf>
    <xf numFmtId="0" fontId="9" fillId="2" borderId="8" xfId="0" quotePrefix="1" applyFont="1" applyFill="1" applyBorder="1" applyAlignment="1">
      <alignment horizontal="center"/>
    </xf>
    <xf numFmtId="0" fontId="9" fillId="2" borderId="5" xfId="0" quotePrefix="1" applyFont="1" applyFill="1" applyBorder="1" applyAlignment="1">
      <alignment horizontal="center"/>
    </xf>
    <xf numFmtId="0" fontId="9" fillId="2" borderId="44" xfId="0" quotePrefix="1" applyFont="1" applyFill="1" applyBorder="1" applyAlignment="1">
      <alignment horizontal="center"/>
    </xf>
    <xf numFmtId="165" fontId="9" fillId="2" borderId="3" xfId="1" applyFont="1" applyFill="1" applyBorder="1" applyAlignment="1">
      <alignment horizontal="left"/>
    </xf>
    <xf numFmtId="165" fontId="9" fillId="2" borderId="60" xfId="1" applyFont="1" applyFill="1" applyBorder="1" applyAlignment="1">
      <alignment horizontal="left"/>
    </xf>
    <xf numFmtId="0" fontId="0" fillId="0" borderId="8" xfId="0" applyBorder="1" applyAlignment="1">
      <alignment horizontal="left" vertical="top" wrapText="1"/>
    </xf>
    <xf numFmtId="0" fontId="0" fillId="0" borderId="5" xfId="0" applyBorder="1" applyAlignment="1">
      <alignment horizontal="left" vertical="top"/>
    </xf>
    <xf numFmtId="0" fontId="0" fillId="0" borderId="44" xfId="0" applyBorder="1" applyAlignment="1">
      <alignment horizontal="left" vertical="top"/>
    </xf>
    <xf numFmtId="0" fontId="0" fillId="0" borderId="7" xfId="0" applyBorder="1" applyAlignment="1">
      <alignment horizontal="left" vertical="top"/>
    </xf>
    <xf numFmtId="0" fontId="0" fillId="0" borderId="0" xfId="0" applyAlignment="1">
      <alignment horizontal="left" vertical="top"/>
    </xf>
    <xf numFmtId="0" fontId="0" fillId="0" borderId="10" xfId="0" applyBorder="1" applyAlignment="1">
      <alignment horizontal="left" vertical="top"/>
    </xf>
    <xf numFmtId="0" fontId="0" fillId="0" borderId="6" xfId="0" applyBorder="1" applyAlignment="1">
      <alignment horizontal="left" vertical="top"/>
    </xf>
    <xf numFmtId="0" fontId="0" fillId="0" borderId="50" xfId="0" applyBorder="1" applyAlignment="1">
      <alignment horizontal="left" vertical="top"/>
    </xf>
    <xf numFmtId="0" fontId="0" fillId="0" borderId="9" xfId="0" applyBorder="1" applyAlignment="1">
      <alignment horizontal="left" vertical="top"/>
    </xf>
    <xf numFmtId="0" fontId="2" fillId="2" borderId="8"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44"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0" xfId="0" applyFont="1" applyFill="1" applyAlignment="1">
      <alignment horizontal="center" vertical="center"/>
    </xf>
    <xf numFmtId="0" fontId="2" fillId="2" borderId="10"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50" xfId="0" applyFont="1" applyFill="1" applyBorder="1" applyAlignment="1">
      <alignment horizontal="center" vertical="center"/>
    </xf>
    <xf numFmtId="0" fontId="2" fillId="2" borderId="9" xfId="0" applyFont="1" applyFill="1" applyBorder="1" applyAlignment="1">
      <alignment horizontal="center" vertical="center"/>
    </xf>
    <xf numFmtId="169" fontId="3" fillId="0" borderId="48" xfId="0" applyNumberFormat="1" applyFont="1" applyBorder="1" applyAlignment="1">
      <alignment horizontal="center"/>
    </xf>
    <xf numFmtId="169" fontId="3" fillId="0" borderId="43" xfId="0" applyNumberFormat="1" applyFont="1" applyBorder="1" applyAlignment="1">
      <alignment horizontal="center"/>
    </xf>
    <xf numFmtId="164" fontId="3" fillId="0" borderId="49" xfId="0" applyNumberFormat="1" applyFont="1" applyBorder="1" applyAlignment="1">
      <alignment horizontal="center"/>
    </xf>
    <xf numFmtId="164" fontId="3" fillId="0" borderId="40" xfId="0" applyNumberFormat="1" applyFont="1" applyBorder="1" applyAlignment="1">
      <alignment horizontal="center"/>
    </xf>
    <xf numFmtId="0" fontId="5" fillId="3" borderId="35" xfId="0" applyFont="1" applyFill="1" applyBorder="1" applyAlignment="1">
      <alignment horizontal="center"/>
    </xf>
    <xf numFmtId="0" fontId="5" fillId="3" borderId="36" xfId="0" applyFont="1" applyFill="1" applyBorder="1" applyAlignment="1">
      <alignment horizontal="center"/>
    </xf>
    <xf numFmtId="0" fontId="5" fillId="3" borderId="37" xfId="0" applyFont="1" applyFill="1" applyBorder="1" applyAlignment="1">
      <alignment horizontal="center"/>
    </xf>
    <xf numFmtId="1" fontId="9" fillId="2" borderId="30" xfId="1" applyNumberFormat="1" applyFont="1" applyFill="1" applyBorder="1" applyAlignment="1">
      <alignment horizontal="center"/>
    </xf>
  </cellXfs>
  <cellStyles count="10">
    <cellStyle name="Comma" xfId="2" builtinId="3"/>
    <cellStyle name="Comma 2" xfId="6" xr:uid="{99735914-463F-4F2C-8209-9AA6C17387C2}"/>
    <cellStyle name="Currency" xfId="1" builtinId="4"/>
    <cellStyle name="Currency 2" xfId="8" xr:uid="{01A50454-9429-47DF-8F48-106AA08B88EA}"/>
    <cellStyle name="Hyperlink" xfId="9" builtinId="8"/>
    <cellStyle name="Normal" xfId="0" builtinId="0"/>
    <cellStyle name="Normal 2 2" xfId="5" xr:uid="{4EEF7F6E-FF90-45F1-9C98-B33EAC337FC2}"/>
    <cellStyle name="Normal 3" xfId="4" xr:uid="{314E0592-0AB2-427A-9A3F-6D47CC25D9A0}"/>
    <cellStyle name="Percent" xfId="3" builtinId="5"/>
    <cellStyle name="Percent 2" xfId="7" xr:uid="{90783729-7E07-4C58-B8E8-F5B29B18A0EF}"/>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292549</xdr:colOff>
      <xdr:row>29</xdr:row>
      <xdr:rowOff>148318</xdr:rowOff>
    </xdr:to>
    <xdr:pic>
      <xdr:nvPicPr>
        <xdr:cNvPr id="2" name="Picture 1">
          <a:extLst>
            <a:ext uri="{FF2B5EF4-FFF2-40B4-BE49-F238E27FC236}">
              <a16:creationId xmlns:a16="http://schemas.microsoft.com/office/drawing/2014/main" id="{E1C12183-DEED-C51B-733F-5429FAC80276}"/>
            </a:ext>
          </a:extLst>
        </xdr:cNvPr>
        <xdr:cNvPicPr>
          <a:picLocks noChangeAspect="1"/>
        </xdr:cNvPicPr>
      </xdr:nvPicPr>
      <xdr:blipFill>
        <a:blip xmlns:r="http://schemas.openxmlformats.org/officeDocument/2006/relationships" r:embed="rId1"/>
        <a:stretch>
          <a:fillRect/>
        </a:stretch>
      </xdr:blipFill>
      <xdr:spPr>
        <a:xfrm>
          <a:off x="0" y="0"/>
          <a:ext cx="6998149" cy="5686425"/>
        </a:xfrm>
        <a:prstGeom prst="rect">
          <a:avLst/>
        </a:prstGeom>
      </xdr:spPr>
    </xdr:pic>
    <xdr:clientData/>
  </xdr:twoCellAnchor>
  <xdr:twoCellAnchor editAs="oneCell">
    <xdr:from>
      <xdr:col>11</xdr:col>
      <xdr:colOff>314325</xdr:colOff>
      <xdr:row>2</xdr:row>
      <xdr:rowOff>57150</xdr:rowOff>
    </xdr:from>
    <xdr:to>
      <xdr:col>35</xdr:col>
      <xdr:colOff>163946</xdr:colOff>
      <xdr:row>27</xdr:row>
      <xdr:rowOff>19709</xdr:rowOff>
    </xdr:to>
    <xdr:pic>
      <xdr:nvPicPr>
        <xdr:cNvPr id="3" name="Picture 2">
          <a:extLst>
            <a:ext uri="{FF2B5EF4-FFF2-40B4-BE49-F238E27FC236}">
              <a16:creationId xmlns:a16="http://schemas.microsoft.com/office/drawing/2014/main" id="{28E43B0E-3225-3213-AB94-8BD651BB93CE}"/>
            </a:ext>
          </a:extLst>
        </xdr:cNvPr>
        <xdr:cNvPicPr>
          <a:picLocks noChangeAspect="1"/>
        </xdr:cNvPicPr>
      </xdr:nvPicPr>
      <xdr:blipFill>
        <a:blip xmlns:r="http://schemas.openxmlformats.org/officeDocument/2006/relationships" r:embed="rId2"/>
        <a:stretch>
          <a:fillRect/>
        </a:stretch>
      </xdr:blipFill>
      <xdr:spPr>
        <a:xfrm>
          <a:off x="7019925" y="438150"/>
          <a:ext cx="14480021" cy="4725059"/>
        </a:xfrm>
        <a:prstGeom prst="rect">
          <a:avLst/>
        </a:prstGeom>
      </xdr:spPr>
    </xdr:pic>
    <xdr:clientData/>
  </xdr:twoCellAnchor>
  <xdr:twoCellAnchor editAs="oneCell">
    <xdr:from>
      <xdr:col>1</xdr:col>
      <xdr:colOff>148319</xdr:colOff>
      <xdr:row>30</xdr:row>
      <xdr:rowOff>97971</xdr:rowOff>
    </xdr:from>
    <xdr:to>
      <xdr:col>22</xdr:col>
      <xdr:colOff>464483</xdr:colOff>
      <xdr:row>55</xdr:row>
      <xdr:rowOff>65976</xdr:rowOff>
    </xdr:to>
    <xdr:pic>
      <xdr:nvPicPr>
        <xdr:cNvPr id="4" name="Picture 3">
          <a:extLst>
            <a:ext uri="{FF2B5EF4-FFF2-40B4-BE49-F238E27FC236}">
              <a16:creationId xmlns:a16="http://schemas.microsoft.com/office/drawing/2014/main" id="{4CBE28C2-B32E-ABA5-64EB-370D9B69E11A}"/>
            </a:ext>
          </a:extLst>
        </xdr:cNvPr>
        <xdr:cNvPicPr>
          <a:picLocks noChangeAspect="1"/>
        </xdr:cNvPicPr>
      </xdr:nvPicPr>
      <xdr:blipFill>
        <a:blip xmlns:r="http://schemas.openxmlformats.org/officeDocument/2006/relationships" r:embed="rId3"/>
        <a:stretch>
          <a:fillRect/>
        </a:stretch>
      </xdr:blipFill>
      <xdr:spPr>
        <a:xfrm>
          <a:off x="760640" y="5812971"/>
          <a:ext cx="13174914" cy="4744112"/>
        </a:xfrm>
        <a:prstGeom prst="rect">
          <a:avLst/>
        </a:prstGeom>
      </xdr:spPr>
    </xdr:pic>
    <xdr:clientData/>
  </xdr:twoCellAnchor>
  <xdr:twoCellAnchor editAs="oneCell">
    <xdr:from>
      <xdr:col>23</xdr:col>
      <xdr:colOff>27213</xdr:colOff>
      <xdr:row>48</xdr:row>
      <xdr:rowOff>81643</xdr:rowOff>
    </xdr:from>
    <xdr:to>
      <xdr:col>49</xdr:col>
      <xdr:colOff>330248</xdr:colOff>
      <xdr:row>73</xdr:row>
      <xdr:rowOff>168045</xdr:rowOff>
    </xdr:to>
    <xdr:pic>
      <xdr:nvPicPr>
        <xdr:cNvPr id="5" name="Picture 4">
          <a:extLst>
            <a:ext uri="{FF2B5EF4-FFF2-40B4-BE49-F238E27FC236}">
              <a16:creationId xmlns:a16="http://schemas.microsoft.com/office/drawing/2014/main" id="{B1066E1C-F721-6A2A-0873-3072BE557567}"/>
            </a:ext>
          </a:extLst>
        </xdr:cNvPr>
        <xdr:cNvPicPr>
          <a:picLocks noChangeAspect="1"/>
        </xdr:cNvPicPr>
      </xdr:nvPicPr>
      <xdr:blipFill>
        <a:blip xmlns:r="http://schemas.openxmlformats.org/officeDocument/2006/relationships" r:embed="rId4"/>
        <a:stretch>
          <a:fillRect/>
        </a:stretch>
      </xdr:blipFill>
      <xdr:spPr>
        <a:xfrm>
          <a:off x="14110606" y="9252857"/>
          <a:ext cx="16604392" cy="48489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mveng.sharepoint.com/daten/InterneRundschreiben/BBX_Anlagen_2508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emsas.worleyparsons.com/Program%20Files/AspenTech/Aspen%20ICARUS%202001/ic_cache/Reporter/Templates/ProjectTempl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emsas.worleyparsons.com/Documents%20and%20Settings/Sheldon/Local%20Settings/Temporary%20Internet%20Files/Content.IE5/0XUFK5EF/Pembina%20Horizon%20Green%20Zone_NPS30&amp;2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ean.herbert\Dropbox%20(LMKeating)\672_UL_Student_Centre\2.6_Budget\CVR\CVR%20-%20Oct.%202019\CVR%20-%20672%20Student%20Centre%20UL%20-%20Oct.%202019.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emsas.worleyparsons.com/Documents%20and%20Settings/dayj.000/Local%20Settings/Temporary%20Internet%20Files/OLK5/Summary%20Est%20green%20zone%20js%20Dec%201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emsas.worleyparsons.com/Documents%20and%20Settings/Sheldon/Local%20Settings/Temporary%20Internet%20Files/Content.IE5/0XUFK5EF/Summary%20Est%20green%20zone%20js%20Dec%201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CRL\07T0884\00-Common\04-Project_Management\PM-07-Cost%20Estimates\0.%20Latest%20Estimate\07T0884-00-A-2601-WP-190DHU-ESTIMAT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hmveng.sharepoint.com/Users/luke.montgomery/OneDrive%20-%20H&amp;mv%20Engineering/Templates/Template%20Master%20BOQ%20rev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yyzwpfil01.worleyparsons.com\Projects\Project%20Estimating\Sarnia%20Help\Cost%20Estimate%20Working%20Files%2002June08\19%20-%20DHU\WP-19-Summ%20Rev%20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emsas.worleyparsons.com/DOCUME~1/derosaa/LOCALS~1/Temp/RISK.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anthony.quinn\H&amp;mv%20Engineering\B1025%20-%20Boolard%20WF%20Project%20-%2011.%20QS\01.%20Commerical%20Tender%20Documents\11.1.4%20-%20Estimating%20Working%20Docs\18-73%20Boolard%20Master%20BOQ%20Rev%204.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hmveng.sharepoint.com/CPMP_CAS/320841%20ESST%20Catania/Angebot/10.03.2010/320841-00-RM-100310-ESST-CataniaTERA-Annex-Cash-Curve-REP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Eckdaten"/>
      <sheetName val="Analyse"/>
      <sheetName val="Kalkulation"/>
      <sheetName val="Lieferantenspiegel"/>
      <sheetName val="Risikoanalyse"/>
      <sheetName val="Finanz.rechn."/>
      <sheetName val="Hilfsrechnung"/>
      <sheetName val="M+W Manloader Application"/>
      <sheetName val="Finanz_rechn_"/>
      <sheetName val="M+W_Manloader_Application"/>
    </sheetNames>
    <sheetDataSet>
      <sheetData sheetId="0"/>
      <sheetData sheetId="1"/>
      <sheetData sheetId="2"/>
      <sheetData sheetId="3"/>
      <sheetData sheetId="4"/>
      <sheetData sheetId="5"/>
      <sheetData sheetId="6"/>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Cost Sumry"/>
      <sheetName val="TDC Key Qty Sumry"/>
      <sheetName val="TDC COA Sumry"/>
      <sheetName val="TDC Item Sumry"/>
      <sheetName val="TDC Item Dets"/>
      <sheetName val="Proj TIC - Std Imp"/>
      <sheetName val="Contr TDC - Std Imp"/>
      <sheetName val="COA Sumry - Std Imp"/>
      <sheetName val="Item Sumry - Std Imp"/>
      <sheetName val="Unit Costs - Std Imp"/>
      <sheetName val="Unit MH - Std Imp"/>
      <sheetName val="Project Metrics"/>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I"/>
      <sheetName val="SW"/>
      <sheetName val="SR"/>
      <sheetName val="MO"/>
      <sheetName val="GF"/>
      <sheetName val="HS"/>
      <sheetName val="BE"/>
      <sheetName val="PGM"/>
      <sheetName val="PGMp"/>
      <sheetName val="WM"/>
      <sheetName val="WMp"/>
      <sheetName val="CJ"/>
      <sheetName val="DI"/>
      <sheetName val="LI"/>
      <sheetName val="BF"/>
      <sheetName val="TI1"/>
      <sheetName val="TI2"/>
      <sheetName val="TST"/>
      <sheetName val="FC"/>
      <sheetName val="Labour"/>
      <sheetName val="Equipment"/>
      <sheetName val="Separator"/>
      <sheetName val="ChartData"/>
      <sheetName val="MarchChart"/>
      <sheetName val="ManPowerChart"/>
      <sheetName val="Schedule"/>
      <sheetName val="Summary (2)"/>
      <sheetName val="Buoy"/>
      <sheetName val="RB"/>
      <sheetName val="RvrOC"/>
      <sheetName val="HDD"/>
      <sheetName val="Fab"/>
      <sheetName val="PGS"/>
      <sheetName val="PGPS"/>
      <sheetName val="WS"/>
      <sheetName val="WSP"/>
      <sheetName val="TR"/>
      <sheetName val="LM"/>
      <sheetName val="PBS"/>
      <sheetName val="RB2"/>
      <sheetName val="MC"/>
      <sheetName val="LRD"/>
      <sheetName val="LRP"/>
      <sheetName val="RDD"/>
      <sheetName val="RDP"/>
      <sheetName val="R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Dat"/>
      <sheetName val="Front Sheet"/>
      <sheetName val="Project Appraisal"/>
      <sheetName val="Revenue Summary"/>
      <sheetName val="Risks and Opps"/>
      <sheetName val="Cash Management"/>
      <sheetName val="End Forecast Value"/>
      <sheetName val="End Forecast Cost"/>
      <sheetName val="Value Profile"/>
      <sheetName val="12 Month Value Profile"/>
      <sheetName val="Cost Profile"/>
      <sheetName val="Variations"/>
      <sheetName val="A - Materials"/>
      <sheetName val="B1 - Prelims"/>
      <sheetName val="B2 - Plant"/>
      <sheetName val="B3 - Labour"/>
      <sheetName val="C - Sub Contractors"/>
      <sheetName val="E - Miscellaneous"/>
      <sheetName val="Quickbooks Download"/>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BE"/>
    </sheetNames>
    <sheetDataSet>
      <sheetData sheetId="0" refreshError="1"/>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E"/>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D"/>
      <sheetName val="Allowance dollars"/>
      <sheetName val="Assumptions"/>
      <sheetName val="Loc"/>
      <sheetName val="Metric Summ-1"/>
      <sheetName val="A SiteDev"/>
      <sheetName val="AC SiteDev-Piles"/>
      <sheetName val="B EarthWorks"/>
      <sheetName val="B4 EarthWorks HydroVac"/>
      <sheetName val="C Concrete"/>
      <sheetName val="D Steel"/>
      <sheetName val="F Bldg"/>
      <sheetName val="G Scaffolding"/>
      <sheetName val="H Demo"/>
      <sheetName val="LA Insul Piping"/>
      <sheetName val="LF Insul Equipt"/>
      <sheetName val="LR Refractory"/>
      <sheetName val="LS FireProof"/>
      <sheetName val="M Eqpt New"/>
      <sheetName val="ME Eqpt Refurbish"/>
      <sheetName val="P-P. Details"/>
      <sheetName val="PB Valves"/>
      <sheetName val="P-S.Tracing"/>
      <sheetName val="P-Piping"/>
      <sheetName val="U Electrical Equipment"/>
      <sheetName val="W Electrical Bulk"/>
      <sheetName val="V Instrument Equipment"/>
      <sheetName val="X Instrument Bulk"/>
      <sheetName val="Y Painting"/>
      <sheetName val="Metric Summ-2"/>
      <sheetName val="Rates Allowa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sTemplate"/>
      <sheetName val="CivilsSummaryTemplate"/>
      <sheetName val="Civils BoQ"/>
      <sheetName val="0.Project Overview Sheet "/>
      <sheetName val="1.Project Overview Sheet"/>
      <sheetName val="2.Summary"/>
      <sheetName val="3.Master BOQ"/>
      <sheetName val="4.Equipment Offers"/>
      <sheetName val="5. Material calculation"/>
      <sheetName val="6.Proposa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All Inclusive Rate"/>
      <sheetName val="Co-op All-in"/>
      <sheetName val="Sum-D"/>
      <sheetName val="Risk Analysis Input"/>
      <sheetName val="Risk Analysis Input revised"/>
      <sheetName val="Risk Graph"/>
      <sheetName val="Revised All Inclusive Rate  "/>
      <sheetName val="Allowance dollars"/>
      <sheetName val="Rates Allowances"/>
      <sheetName val="Assumptions"/>
      <sheetName val="Loc"/>
      <sheetName val="Metric Summ"/>
      <sheetName val="A SiteDev"/>
      <sheetName val="AC SiteDev-Piles"/>
      <sheetName val="B EarthWorks"/>
      <sheetName val="B4 EarthWorks HydroVac"/>
      <sheetName val="C Concrete"/>
      <sheetName val="D Steel"/>
      <sheetName val="F Bldg"/>
      <sheetName val="H Demo"/>
      <sheetName val="LA Insul Piping"/>
      <sheetName val="LF Insul Equipt"/>
      <sheetName val="LR Refractory"/>
      <sheetName val="LS FireProof"/>
      <sheetName val="M Eqpt New"/>
      <sheetName val="ME Eqpt Refurbish"/>
      <sheetName val="P Piping"/>
      <sheetName val="PB Valves"/>
      <sheetName val="U Electrical Equipment"/>
      <sheetName val="V Instrument Equipment"/>
      <sheetName val="W Electrical Bulk"/>
      <sheetName val="X Instrument Bulk"/>
      <sheetName val="Y Pain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triangular&amp;uniform"/>
      <sheetName val="STATISTICS"/>
      <sheetName val="CONTINGENCY"/>
      <sheetName val="Sheet4"/>
    </sheetNames>
    <sheetDataSet>
      <sheetData sheetId="0" refreshError="1"/>
      <sheetData sheetId="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Project Summary Sheet"/>
      <sheetName val="Summary"/>
      <sheetName val="Boolard EBoP"/>
      <sheetName val="Breakdown"/>
      <sheetName val="Schedule of Rates"/>
      <sheetName val="Material calculation"/>
      <sheetName val="Equipment Offers"/>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Readme"/>
      <sheetName val="PSW_Sheet"/>
      <sheetName val="Cash_Flow"/>
    </sheetNames>
    <sheetDataSet>
      <sheetData sheetId="0" refreshError="1"/>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blockchain.com/explorer/charts/difficulty" TargetMode="External"/><Relationship Id="rId1" Type="http://schemas.openxmlformats.org/officeDocument/2006/relationships/hyperlink" Target="https://academy.braiins.com/en/mining-insights/profitability/outputs-and-chart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32AD6-91DE-4F33-A746-53EEB709B3E8}">
  <dimension ref="A2:C19"/>
  <sheetViews>
    <sheetView workbookViewId="0">
      <selection activeCell="A21" sqref="A21"/>
    </sheetView>
  </sheetViews>
  <sheetFormatPr defaultRowHeight="14.5" x14ac:dyDescent="0.35"/>
  <cols>
    <col min="1" max="1" width="52.81640625" bestFit="1" customWidth="1"/>
    <col min="2" max="2" width="9.1796875" style="137"/>
    <col min="3" max="3" width="12.54296875" style="138" bestFit="1" customWidth="1"/>
  </cols>
  <sheetData>
    <row r="2" spans="1:3" x14ac:dyDescent="0.35">
      <c r="C2" s="138" t="s">
        <v>0</v>
      </c>
    </row>
    <row r="3" spans="1:3" ht="16" x14ac:dyDescent="0.35">
      <c r="A3" s="161" t="s">
        <v>1</v>
      </c>
      <c r="B3" s="159" t="s">
        <v>2</v>
      </c>
    </row>
    <row r="4" spans="1:3" ht="16" x14ac:dyDescent="0.35">
      <c r="A4" s="135" t="s">
        <v>3</v>
      </c>
      <c r="B4" s="137">
        <v>360</v>
      </c>
      <c r="C4" s="138">
        <f>B4*400</f>
        <v>144000</v>
      </c>
    </row>
    <row r="5" spans="1:3" ht="16" x14ac:dyDescent="0.35">
      <c r="A5" s="135" t="s">
        <v>4</v>
      </c>
      <c r="B5" s="137">
        <v>1</v>
      </c>
      <c r="C5" s="138">
        <v>80000</v>
      </c>
    </row>
    <row r="6" spans="1:3" ht="16" x14ac:dyDescent="0.35">
      <c r="A6" s="135" t="s">
        <v>5</v>
      </c>
      <c r="B6" s="137">
        <v>1</v>
      </c>
      <c r="C6" s="138">
        <v>30000</v>
      </c>
    </row>
    <row r="7" spans="1:3" ht="16" x14ac:dyDescent="0.35">
      <c r="A7" s="135" t="s">
        <v>6</v>
      </c>
      <c r="C7" s="138">
        <v>12000</v>
      </c>
    </row>
    <row r="8" spans="1:3" ht="16" x14ac:dyDescent="0.35">
      <c r="A8" s="133" t="s">
        <v>7</v>
      </c>
    </row>
    <row r="9" spans="1:3" ht="16" x14ac:dyDescent="0.35">
      <c r="A9" s="134" t="s">
        <v>8</v>
      </c>
      <c r="B9" s="137">
        <v>1</v>
      </c>
      <c r="C9" s="138" t="s">
        <v>9</v>
      </c>
    </row>
    <row r="10" spans="1:3" x14ac:dyDescent="0.35">
      <c r="B10" s="159" t="s">
        <v>10</v>
      </c>
      <c r="C10" s="160">
        <f>SUM(C4:C9)</f>
        <v>266000</v>
      </c>
    </row>
    <row r="11" spans="1:3" ht="16" x14ac:dyDescent="0.35">
      <c r="A11" s="161" t="s">
        <v>11</v>
      </c>
      <c r="B11" s="159" t="s">
        <v>2</v>
      </c>
    </row>
    <row r="12" spans="1:3" ht="16" x14ac:dyDescent="0.35">
      <c r="A12" s="135" t="s">
        <v>12</v>
      </c>
      <c r="B12" s="137">
        <v>1080</v>
      </c>
      <c r="C12" s="138">
        <f>B12*400</f>
        <v>432000</v>
      </c>
    </row>
    <row r="13" spans="1:3" ht="16" x14ac:dyDescent="0.35">
      <c r="A13" s="135" t="s">
        <v>13</v>
      </c>
    </row>
    <row r="14" spans="1:3" ht="16" x14ac:dyDescent="0.35">
      <c r="A14" s="135" t="s">
        <v>14</v>
      </c>
    </row>
    <row r="15" spans="1:3" ht="16" x14ac:dyDescent="0.35">
      <c r="A15" s="135" t="s">
        <v>15</v>
      </c>
      <c r="B15" s="137">
        <v>3</v>
      </c>
      <c r="C15" s="138">
        <v>160000</v>
      </c>
    </row>
    <row r="16" spans="1:3" ht="16" x14ac:dyDescent="0.35">
      <c r="A16" s="135" t="s">
        <v>16</v>
      </c>
      <c r="B16" s="137">
        <v>3</v>
      </c>
      <c r="C16" s="138">
        <v>60000</v>
      </c>
    </row>
    <row r="17" spans="1:3" ht="16" x14ac:dyDescent="0.35">
      <c r="A17" s="135" t="s">
        <v>17</v>
      </c>
      <c r="C17" s="138">
        <v>24000</v>
      </c>
    </row>
    <row r="18" spans="1:3" ht="16" x14ac:dyDescent="0.35">
      <c r="A18" s="133" t="s">
        <v>7</v>
      </c>
    </row>
    <row r="19" spans="1:3" x14ac:dyDescent="0.35">
      <c r="B19" s="159" t="s">
        <v>10</v>
      </c>
      <c r="C19" s="160">
        <f>SUM(C12:C18)</f>
        <v>676000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5FFD-8F99-4684-9F6C-482E218773C8}">
  <sheetPr>
    <tabColor theme="4" tint="-0.499984740745262"/>
  </sheetPr>
  <dimension ref="A1:BB98"/>
  <sheetViews>
    <sheetView tabSelected="1" zoomScale="54" zoomScaleNormal="100" workbookViewId="0">
      <selection activeCell="N21" sqref="N21"/>
    </sheetView>
  </sheetViews>
  <sheetFormatPr defaultRowHeight="14.5" x14ac:dyDescent="0.35"/>
  <cols>
    <col min="1" max="1" width="40.54296875" bestFit="1" customWidth="1"/>
    <col min="2" max="2" width="14.26953125" bestFit="1" customWidth="1"/>
    <col min="3" max="3" width="16.453125" customWidth="1"/>
    <col min="4" max="14" width="14.81640625" bestFit="1" customWidth="1"/>
    <col min="15" max="15" width="16.81640625" bestFit="1" customWidth="1"/>
    <col min="16" max="21" width="14.81640625" bestFit="1" customWidth="1"/>
    <col min="22" max="27" width="16.81640625" bestFit="1" customWidth="1"/>
    <col min="28" max="28" width="7.7265625" bestFit="1" customWidth="1"/>
    <col min="29" max="41" width="16.26953125" bestFit="1" customWidth="1"/>
    <col min="42" max="53" width="14.26953125" bestFit="1" customWidth="1"/>
    <col min="54" max="54" width="17.08984375" bestFit="1" customWidth="1"/>
  </cols>
  <sheetData>
    <row r="1" spans="1:16" x14ac:dyDescent="0.35">
      <c r="A1" s="289" t="s">
        <v>186</v>
      </c>
      <c r="B1" s="290"/>
      <c r="C1" s="290"/>
      <c r="D1" s="290"/>
      <c r="E1" s="290"/>
      <c r="F1" s="290"/>
      <c r="G1" s="290"/>
      <c r="H1" s="290"/>
      <c r="I1" s="290"/>
      <c r="J1" s="290"/>
      <c r="K1" s="290"/>
      <c r="L1" s="290"/>
      <c r="M1" s="290"/>
      <c r="N1" s="290"/>
      <c r="O1" s="290"/>
      <c r="P1" s="291"/>
    </row>
    <row r="2" spans="1:16" x14ac:dyDescent="0.35">
      <c r="A2" s="292"/>
      <c r="B2" s="293"/>
      <c r="C2" s="293"/>
      <c r="D2" s="293"/>
      <c r="E2" s="293"/>
      <c r="F2" s="293"/>
      <c r="G2" s="293"/>
      <c r="H2" s="293"/>
      <c r="I2" s="293"/>
      <c r="J2" s="293"/>
      <c r="K2" s="293"/>
      <c r="L2" s="293"/>
      <c r="M2" s="293"/>
      <c r="N2" s="293"/>
      <c r="O2" s="293"/>
      <c r="P2" s="294"/>
    </row>
    <row r="3" spans="1:16" x14ac:dyDescent="0.35">
      <c r="A3" s="292"/>
      <c r="B3" s="293"/>
      <c r="C3" s="293"/>
      <c r="D3" s="293"/>
      <c r="E3" s="293"/>
      <c r="F3" s="293"/>
      <c r="G3" s="293"/>
      <c r="H3" s="293"/>
      <c r="I3" s="293"/>
      <c r="J3" s="293"/>
      <c r="K3" s="293"/>
      <c r="L3" s="293"/>
      <c r="M3" s="293"/>
      <c r="N3" s="293"/>
      <c r="O3" s="293"/>
      <c r="P3" s="294"/>
    </row>
    <row r="4" spans="1:16" ht="15" thickBot="1" x14ac:dyDescent="0.4">
      <c r="A4" s="295"/>
      <c r="B4" s="296"/>
      <c r="C4" s="296"/>
      <c r="D4" s="296"/>
      <c r="E4" s="296"/>
      <c r="F4" s="296"/>
      <c r="G4" s="296"/>
      <c r="H4" s="296"/>
      <c r="I4" s="296"/>
      <c r="J4" s="296"/>
      <c r="K4" s="296"/>
      <c r="L4" s="296"/>
      <c r="M4" s="296"/>
      <c r="N4" s="296"/>
      <c r="O4" s="296"/>
      <c r="P4" s="297"/>
    </row>
    <row r="5" spans="1:16" ht="16" thickBot="1" x14ac:dyDescent="0.4">
      <c r="A5" s="201" t="s">
        <v>61</v>
      </c>
      <c r="E5" s="184"/>
    </row>
    <row r="6" spans="1:16" ht="16" thickBot="1" x14ac:dyDescent="0.4">
      <c r="A6" s="165">
        <v>80000</v>
      </c>
      <c r="E6" s="184"/>
    </row>
    <row r="7" spans="1:16" ht="16" thickBot="1" x14ac:dyDescent="0.4">
      <c r="A7" s="56" t="s">
        <v>62</v>
      </c>
      <c r="B7" s="188">
        <v>120</v>
      </c>
      <c r="C7" s="233" t="s">
        <v>63</v>
      </c>
      <c r="E7" s="309" t="s">
        <v>64</v>
      </c>
      <c r="F7" s="310"/>
      <c r="G7" s="310"/>
      <c r="H7" s="310"/>
      <c r="I7" s="311"/>
    </row>
    <row r="8" spans="1:16" ht="16" thickBot="1" x14ac:dyDescent="0.4">
      <c r="A8" s="56" t="s">
        <v>65</v>
      </c>
      <c r="B8" s="189">
        <v>3.125</v>
      </c>
      <c r="C8" s="312" t="s">
        <v>66</v>
      </c>
      <c r="D8" s="313"/>
      <c r="E8" s="300" t="s">
        <v>67</v>
      </c>
      <c r="F8" s="301"/>
      <c r="G8" s="301"/>
      <c r="H8" s="301"/>
      <c r="I8" s="302"/>
    </row>
    <row r="9" spans="1:16" ht="16" thickBot="1" x14ac:dyDescent="0.4">
      <c r="A9" s="56" t="s">
        <v>68</v>
      </c>
      <c r="B9" s="204">
        <f>(1+0.25)^(1/12)-1</f>
        <v>1.8769265121506118E-2</v>
      </c>
      <c r="C9" s="312" t="s">
        <v>69</v>
      </c>
      <c r="D9" s="313"/>
      <c r="E9" s="303" t="s">
        <v>70</v>
      </c>
      <c r="F9" s="304"/>
      <c r="G9" s="304"/>
      <c r="H9" s="304"/>
      <c r="I9" s="305"/>
    </row>
    <row r="10" spans="1:16" ht="16" thickBot="1" x14ac:dyDescent="0.4">
      <c r="A10" s="171" t="s">
        <v>71</v>
      </c>
      <c r="B10" s="207">
        <f>(1+0.36)^(1/12)-1</f>
        <v>2.5954834658546311E-2</v>
      </c>
      <c r="C10" s="312" t="s">
        <v>69</v>
      </c>
      <c r="D10" s="313"/>
      <c r="E10" s="306" t="s">
        <v>72</v>
      </c>
      <c r="F10" s="307"/>
      <c r="G10" s="307"/>
      <c r="H10" s="307"/>
      <c r="I10" s="308"/>
    </row>
    <row r="11" spans="1:16" ht="16" thickBot="1" x14ac:dyDescent="0.4">
      <c r="A11" s="171" t="s">
        <v>188</v>
      </c>
      <c r="B11" s="35">
        <v>0.01</v>
      </c>
      <c r="C11" s="285" t="s">
        <v>189</v>
      </c>
      <c r="D11" s="200"/>
      <c r="E11" s="200"/>
      <c r="F11" s="200"/>
      <c r="G11" s="200"/>
      <c r="H11" s="200"/>
      <c r="I11" s="200"/>
    </row>
    <row r="12" spans="1:16" ht="16" thickBot="1" x14ac:dyDescent="0.4">
      <c r="A12" s="171" t="s">
        <v>190</v>
      </c>
      <c r="B12" s="288">
        <v>1.7999999999999999E-2</v>
      </c>
      <c r="C12" s="286" t="s">
        <v>162</v>
      </c>
      <c r="D12" s="200"/>
      <c r="E12" s="200"/>
      <c r="F12" s="200"/>
      <c r="G12" s="200"/>
      <c r="H12" s="200"/>
      <c r="I12" s="200"/>
    </row>
    <row r="13" spans="1:16" ht="16" thickBot="1" x14ac:dyDescent="0.4">
      <c r="A13" s="202" t="s">
        <v>161</v>
      </c>
      <c r="B13" s="203">
        <f>B12+B11</f>
        <v>2.7999999999999997E-2</v>
      </c>
      <c r="C13" s="287" t="s">
        <v>162</v>
      </c>
      <c r="E13" s="200"/>
      <c r="F13" s="137"/>
      <c r="G13" s="137"/>
      <c r="H13" s="137"/>
    </row>
    <row r="14" spans="1:16" ht="16" thickBot="1" x14ac:dyDescent="0.4">
      <c r="A14" s="54"/>
      <c r="B14" s="55"/>
    </row>
    <row r="15" spans="1:16" ht="16" thickBot="1" x14ac:dyDescent="0.4">
      <c r="A15" s="25" t="s">
        <v>158</v>
      </c>
      <c r="B15" s="279">
        <v>700000</v>
      </c>
      <c r="C15" s="27"/>
      <c r="D15" s="27"/>
      <c r="E15" s="27"/>
      <c r="F15" s="27"/>
      <c r="G15" s="27"/>
      <c r="H15" s="27"/>
      <c r="I15" s="27"/>
      <c r="J15" s="27"/>
      <c r="K15" s="27"/>
      <c r="L15" s="27"/>
      <c r="M15" s="27"/>
      <c r="N15" s="27"/>
      <c r="O15" s="27"/>
    </row>
    <row r="16" spans="1:16" ht="16" thickBot="1" x14ac:dyDescent="0.4">
      <c r="A16" s="25" t="s">
        <v>34</v>
      </c>
      <c r="B16" s="279">
        <v>115000</v>
      </c>
      <c r="C16" s="27"/>
      <c r="D16" s="27"/>
      <c r="E16" s="27"/>
      <c r="F16" s="27"/>
      <c r="G16" s="27"/>
      <c r="H16" s="27"/>
      <c r="I16" s="27"/>
      <c r="J16" s="27"/>
      <c r="K16" s="27"/>
      <c r="L16" s="27"/>
      <c r="M16" s="27"/>
      <c r="N16" s="27"/>
      <c r="O16" s="27"/>
    </row>
    <row r="17" spans="1:54" ht="16" thickBot="1" x14ac:dyDescent="0.4">
      <c r="A17" s="30" t="s">
        <v>74</v>
      </c>
      <c r="B17" s="280">
        <v>20000</v>
      </c>
      <c r="C17" s="56" t="s">
        <v>35</v>
      </c>
      <c r="D17" s="282" t="s">
        <v>23</v>
      </c>
      <c r="E17" s="27"/>
      <c r="F17" s="27"/>
      <c r="G17" s="27"/>
      <c r="H17" s="27"/>
      <c r="I17" s="27"/>
      <c r="J17" s="27"/>
      <c r="K17" s="27"/>
      <c r="L17" s="27"/>
      <c r="M17" s="27"/>
      <c r="N17" s="27"/>
      <c r="O17" s="27"/>
    </row>
    <row r="18" spans="1:54" ht="16" thickBot="1" x14ac:dyDescent="0.4">
      <c r="A18" s="30" t="s">
        <v>19</v>
      </c>
      <c r="B18" s="280">
        <v>800</v>
      </c>
      <c r="C18" s="27">
        <v>120</v>
      </c>
      <c r="D18" s="27">
        <v>3250</v>
      </c>
      <c r="E18" s="27"/>
      <c r="F18" s="27"/>
      <c r="G18" s="27"/>
      <c r="H18" s="27"/>
      <c r="I18" s="27"/>
      <c r="J18" s="27"/>
      <c r="K18" s="27"/>
      <c r="L18" s="27"/>
      <c r="M18" s="27"/>
      <c r="N18" s="27"/>
      <c r="O18" s="27"/>
      <c r="AH18" s="234" t="s">
        <v>19</v>
      </c>
      <c r="AI18" s="235">
        <v>800</v>
      </c>
      <c r="AJ18" s="339">
        <v>200</v>
      </c>
      <c r="AK18" s="339">
        <v>3600</v>
      </c>
    </row>
    <row r="19" spans="1:54" ht="16" thickBot="1" x14ac:dyDescent="0.4">
      <c r="A19" s="278" t="s">
        <v>159</v>
      </c>
      <c r="B19" s="281">
        <v>875</v>
      </c>
      <c r="C19" s="27"/>
      <c r="D19" s="27"/>
      <c r="E19" s="27"/>
      <c r="F19" s="27"/>
      <c r="G19" s="27"/>
      <c r="H19" s="27"/>
      <c r="I19" s="27"/>
      <c r="J19" s="27"/>
      <c r="K19" s="27"/>
      <c r="L19" s="27"/>
      <c r="M19" s="27"/>
      <c r="N19" s="27"/>
      <c r="O19" s="27"/>
      <c r="AH19" s="71" t="s">
        <v>174</v>
      </c>
    </row>
    <row r="20" spans="1:54" ht="16" thickBot="1" x14ac:dyDescent="0.4">
      <c r="A20" s="27"/>
      <c r="B20" s="167">
        <v>45839</v>
      </c>
      <c r="C20" s="167">
        <v>45870</v>
      </c>
      <c r="D20" s="167">
        <v>45901</v>
      </c>
      <c r="E20" s="167">
        <v>45931</v>
      </c>
      <c r="F20" s="167">
        <v>45962</v>
      </c>
      <c r="G20" s="167">
        <v>45992</v>
      </c>
      <c r="H20" s="167">
        <v>46023</v>
      </c>
      <c r="I20" s="167">
        <v>46054</v>
      </c>
      <c r="J20" s="167">
        <v>46082</v>
      </c>
      <c r="K20" s="167">
        <v>46113</v>
      </c>
      <c r="L20" s="167">
        <v>46143</v>
      </c>
      <c r="M20" s="167">
        <v>46174</v>
      </c>
      <c r="N20" s="167">
        <v>46204</v>
      </c>
      <c r="O20" s="167"/>
      <c r="P20" s="167">
        <v>46266</v>
      </c>
      <c r="Q20" s="167">
        <v>46296</v>
      </c>
      <c r="R20" s="167">
        <v>46327</v>
      </c>
      <c r="S20" s="167">
        <v>46357</v>
      </c>
      <c r="T20" s="167">
        <v>46388</v>
      </c>
      <c r="U20" s="167">
        <v>46419</v>
      </c>
      <c r="V20" s="167">
        <v>46447</v>
      </c>
      <c r="W20" s="167">
        <v>46478</v>
      </c>
      <c r="X20" s="167">
        <v>46508</v>
      </c>
      <c r="Y20" s="167">
        <v>46539</v>
      </c>
      <c r="Z20" s="167">
        <v>46569</v>
      </c>
      <c r="AA20" s="167">
        <v>46600</v>
      </c>
      <c r="AB20" s="167"/>
      <c r="AC20" s="167">
        <v>46661</v>
      </c>
      <c r="AD20" s="167">
        <v>46692</v>
      </c>
      <c r="AE20" s="167">
        <v>46722</v>
      </c>
      <c r="AF20" s="167">
        <v>46753</v>
      </c>
      <c r="AG20" s="167">
        <v>46784</v>
      </c>
      <c r="AH20" s="206">
        <v>46813</v>
      </c>
      <c r="AI20" s="167">
        <v>46844</v>
      </c>
      <c r="AJ20" s="167">
        <v>46874</v>
      </c>
      <c r="AK20" s="167">
        <v>46905</v>
      </c>
      <c r="AL20" s="167">
        <v>46935</v>
      </c>
      <c r="AM20" s="167">
        <v>46966</v>
      </c>
      <c r="AN20" s="167">
        <v>46997</v>
      </c>
    </row>
    <row r="21" spans="1:54" ht="16" thickBot="1" x14ac:dyDescent="0.4">
      <c r="A21" s="170" t="s">
        <v>75</v>
      </c>
      <c r="B21" s="171" t="s">
        <v>41</v>
      </c>
      <c r="C21" s="32" t="s">
        <v>42</v>
      </c>
      <c r="D21" s="32" t="s">
        <v>43</v>
      </c>
      <c r="E21" s="32" t="s">
        <v>44</v>
      </c>
      <c r="F21" s="32" t="s">
        <v>76</v>
      </c>
      <c r="G21" s="32" t="s">
        <v>77</v>
      </c>
      <c r="H21" s="32" t="s">
        <v>78</v>
      </c>
      <c r="I21" s="32" t="s">
        <v>79</v>
      </c>
      <c r="J21" s="32" t="s">
        <v>80</v>
      </c>
      <c r="K21" s="32" t="s">
        <v>81</v>
      </c>
      <c r="L21" s="32" t="s">
        <v>82</v>
      </c>
      <c r="M21" s="32" t="s">
        <v>83</v>
      </c>
      <c r="N21" s="32" t="s">
        <v>84</v>
      </c>
      <c r="O21" s="151" t="s">
        <v>85</v>
      </c>
      <c r="P21" s="32" t="s">
        <v>42</v>
      </c>
      <c r="Q21" s="32" t="s">
        <v>43</v>
      </c>
      <c r="R21" s="32" t="s">
        <v>44</v>
      </c>
      <c r="S21" s="32" t="s">
        <v>76</v>
      </c>
      <c r="T21" s="32" t="s">
        <v>77</v>
      </c>
      <c r="U21" s="32" t="s">
        <v>78</v>
      </c>
      <c r="V21" s="32" t="s">
        <v>79</v>
      </c>
      <c r="W21" s="32" t="s">
        <v>80</v>
      </c>
      <c r="X21" s="32" t="s">
        <v>81</v>
      </c>
      <c r="Y21" s="32" t="s">
        <v>82</v>
      </c>
      <c r="Z21" s="32" t="s">
        <v>83</v>
      </c>
      <c r="AA21" s="32" t="s">
        <v>84</v>
      </c>
      <c r="AB21" s="151" t="s">
        <v>193</v>
      </c>
      <c r="AC21" s="32" t="s">
        <v>42</v>
      </c>
      <c r="AD21" s="32" t="s">
        <v>43</v>
      </c>
      <c r="AE21" s="32" t="s">
        <v>44</v>
      </c>
      <c r="AF21" s="32" t="s">
        <v>76</v>
      </c>
      <c r="AG21" s="32" t="s">
        <v>77</v>
      </c>
      <c r="AH21" s="232" t="s">
        <v>78</v>
      </c>
      <c r="AI21" s="32" t="s">
        <v>79</v>
      </c>
      <c r="AJ21" s="32" t="s">
        <v>80</v>
      </c>
      <c r="AK21" s="32" t="s">
        <v>81</v>
      </c>
      <c r="AL21" s="32" t="s">
        <v>82</v>
      </c>
      <c r="AM21" s="32" t="s">
        <v>83</v>
      </c>
      <c r="AN21" s="32" t="s">
        <v>84</v>
      </c>
      <c r="AO21" s="151" t="s">
        <v>194</v>
      </c>
      <c r="AP21" s="32" t="s">
        <v>42</v>
      </c>
      <c r="AQ21" s="32" t="s">
        <v>43</v>
      </c>
      <c r="AR21" s="32" t="s">
        <v>44</v>
      </c>
      <c r="AS21" s="32" t="s">
        <v>76</v>
      </c>
      <c r="AT21" s="32" t="s">
        <v>77</v>
      </c>
      <c r="AU21" s="32" t="s">
        <v>78</v>
      </c>
      <c r="AV21" s="32" t="s">
        <v>79</v>
      </c>
      <c r="AW21" s="32" t="s">
        <v>80</v>
      </c>
      <c r="AX21" s="32" t="s">
        <v>81</v>
      </c>
      <c r="AY21" s="32" t="s">
        <v>82</v>
      </c>
      <c r="AZ21" s="32" t="s">
        <v>83</v>
      </c>
      <c r="BA21" s="32" t="s">
        <v>83</v>
      </c>
      <c r="BB21" s="151" t="s">
        <v>195</v>
      </c>
    </row>
    <row r="22" spans="1:54" ht="16" thickBot="1" x14ac:dyDescent="0.4">
      <c r="A22" s="51" t="s">
        <v>86</v>
      </c>
      <c r="B22" s="172">
        <v>1</v>
      </c>
      <c r="C22" s="172">
        <v>1</v>
      </c>
      <c r="D22" s="172">
        <v>1</v>
      </c>
      <c r="E22" s="172">
        <v>1</v>
      </c>
      <c r="F22" s="172">
        <v>1</v>
      </c>
      <c r="G22" s="172">
        <v>1</v>
      </c>
      <c r="H22" s="172">
        <v>1</v>
      </c>
      <c r="I22" s="172">
        <v>1</v>
      </c>
      <c r="J22" s="33"/>
      <c r="K22" s="33"/>
      <c r="L22" s="33"/>
      <c r="M22" s="33"/>
      <c r="N22" s="33"/>
      <c r="O22" s="152"/>
      <c r="P22" s="33"/>
      <c r="Q22" s="33"/>
      <c r="R22" s="33"/>
      <c r="S22" s="33"/>
      <c r="T22" s="33"/>
      <c r="U22" s="33"/>
      <c r="V22" s="33"/>
      <c r="W22" s="33"/>
      <c r="X22" s="33"/>
      <c r="Y22" s="33"/>
      <c r="Z22" s="33"/>
      <c r="AA22" s="33"/>
      <c r="AB22" s="152"/>
      <c r="AC22" s="33"/>
      <c r="AD22" s="33"/>
      <c r="AE22" s="33"/>
      <c r="AF22" s="33"/>
      <c r="AG22" s="33"/>
      <c r="AH22" s="209"/>
      <c r="AI22" s="33"/>
      <c r="AJ22" s="33"/>
      <c r="AK22" s="33"/>
      <c r="AL22" s="33"/>
      <c r="AM22" s="33"/>
      <c r="AN22" s="33"/>
      <c r="AO22" s="152"/>
      <c r="AP22" s="33"/>
      <c r="AQ22" s="33"/>
      <c r="AR22" s="33"/>
      <c r="AS22" s="33"/>
      <c r="AT22" s="33"/>
      <c r="AU22" s="33"/>
      <c r="AV22" s="33"/>
      <c r="AW22" s="33"/>
      <c r="AX22" s="33"/>
      <c r="AY22" s="33"/>
      <c r="AZ22" s="33"/>
      <c r="BA22" s="33"/>
      <c r="BB22" s="152"/>
    </row>
    <row r="23" spans="1:54" ht="16" thickBot="1" x14ac:dyDescent="0.4">
      <c r="A23" s="51" t="s">
        <v>87</v>
      </c>
      <c r="B23" s="172">
        <v>360</v>
      </c>
      <c r="C23" s="172">
        <v>360</v>
      </c>
      <c r="D23" s="172">
        <v>360</v>
      </c>
      <c r="E23" s="172">
        <v>360</v>
      </c>
      <c r="F23" s="172">
        <v>360</v>
      </c>
      <c r="G23" s="172">
        <v>360</v>
      </c>
      <c r="H23" s="172">
        <v>360</v>
      </c>
      <c r="I23" s="172">
        <v>360</v>
      </c>
      <c r="J23" s="33"/>
      <c r="K23" s="33"/>
      <c r="L23" s="33"/>
      <c r="M23" s="33"/>
      <c r="N23" s="33"/>
      <c r="O23" s="152"/>
      <c r="P23" s="33"/>
      <c r="Q23" s="33"/>
      <c r="R23" s="33"/>
      <c r="S23" s="33"/>
      <c r="T23" s="33"/>
      <c r="U23" s="33"/>
      <c r="V23" s="33"/>
      <c r="W23" s="33"/>
      <c r="X23" s="33"/>
      <c r="Y23" s="33"/>
      <c r="Z23" s="33"/>
      <c r="AA23" s="33"/>
      <c r="AB23" s="152"/>
      <c r="AC23" s="33"/>
      <c r="AD23" s="33"/>
      <c r="AE23" s="33"/>
      <c r="AF23" s="33"/>
      <c r="AG23" s="33"/>
      <c r="AH23" s="209">
        <v>2600</v>
      </c>
      <c r="AI23" s="33"/>
      <c r="AJ23" s="33"/>
      <c r="AK23" s="33"/>
      <c r="AL23" s="33"/>
      <c r="AM23" s="33"/>
      <c r="AN23" s="33"/>
      <c r="AO23" s="152"/>
      <c r="AP23" s="33"/>
      <c r="AQ23" s="33"/>
      <c r="AR23" s="33"/>
      <c r="AS23" s="33"/>
      <c r="AT23" s="33"/>
      <c r="AU23" s="33"/>
      <c r="AV23" s="33"/>
      <c r="AW23" s="33"/>
      <c r="AX23" s="33"/>
      <c r="AY23" s="33"/>
      <c r="AZ23" s="33"/>
      <c r="BA23" s="33"/>
      <c r="BB23" s="152"/>
    </row>
    <row r="24" spans="1:54" ht="16" thickBot="1" x14ac:dyDescent="0.4">
      <c r="A24" s="53" t="s">
        <v>167</v>
      </c>
      <c r="B24" s="172">
        <v>1</v>
      </c>
      <c r="C24" s="172">
        <v>1</v>
      </c>
      <c r="D24" s="172">
        <v>1</v>
      </c>
      <c r="E24" s="172">
        <v>1</v>
      </c>
      <c r="F24" s="172">
        <v>1</v>
      </c>
      <c r="G24" s="172">
        <v>1</v>
      </c>
      <c r="H24" s="172">
        <v>1</v>
      </c>
      <c r="I24" s="172">
        <v>1</v>
      </c>
      <c r="J24" s="33"/>
      <c r="K24" s="33"/>
      <c r="L24" s="33"/>
      <c r="M24" s="33"/>
      <c r="N24" s="33"/>
      <c r="O24" s="152"/>
      <c r="P24" s="33"/>
      <c r="Q24" s="33"/>
      <c r="R24" s="33"/>
      <c r="S24" s="33"/>
      <c r="T24" s="33"/>
      <c r="U24" s="33"/>
      <c r="V24" s="33"/>
      <c r="W24" s="33"/>
      <c r="X24" s="33"/>
      <c r="Y24" s="33"/>
      <c r="Z24" s="33"/>
      <c r="AA24" s="33"/>
      <c r="AB24" s="152"/>
      <c r="AC24" s="33"/>
      <c r="AD24" s="33"/>
      <c r="AE24" s="33"/>
      <c r="AF24" s="33"/>
      <c r="AG24" s="33"/>
      <c r="AH24" s="209"/>
      <c r="AI24" s="33"/>
      <c r="AJ24" s="33"/>
      <c r="AK24" s="33"/>
      <c r="AL24" s="33"/>
      <c r="AM24" s="33"/>
      <c r="AN24" s="33"/>
      <c r="AO24" s="152"/>
      <c r="AP24" s="33"/>
      <c r="AQ24" s="33"/>
      <c r="AR24" s="33"/>
      <c r="AS24" s="33"/>
      <c r="AT24" s="33"/>
      <c r="AU24" s="33"/>
      <c r="AV24" s="33"/>
      <c r="AW24" s="33"/>
      <c r="AX24" s="33"/>
      <c r="AY24" s="33"/>
      <c r="AZ24" s="33"/>
      <c r="BA24" s="33"/>
      <c r="BB24" s="152"/>
    </row>
    <row r="25" spans="1:54" ht="16" thickBot="1" x14ac:dyDescent="0.4">
      <c r="A25" s="170" t="s">
        <v>89</v>
      </c>
      <c r="B25" s="171" t="s">
        <v>41</v>
      </c>
      <c r="C25" s="32" t="s">
        <v>42</v>
      </c>
      <c r="D25" s="32" t="s">
        <v>43</v>
      </c>
      <c r="E25" s="32" t="s">
        <v>44</v>
      </c>
      <c r="F25" s="32" t="s">
        <v>76</v>
      </c>
      <c r="G25" s="32" t="s">
        <v>77</v>
      </c>
      <c r="H25" s="32" t="s">
        <v>78</v>
      </c>
      <c r="I25" s="32" t="s">
        <v>79</v>
      </c>
      <c r="J25" s="32" t="s">
        <v>80</v>
      </c>
      <c r="K25" s="32" t="s">
        <v>81</v>
      </c>
      <c r="L25" s="32" t="s">
        <v>82</v>
      </c>
      <c r="M25" s="32" t="s">
        <v>83</v>
      </c>
      <c r="N25" s="32" t="s">
        <v>84</v>
      </c>
      <c r="O25" s="153"/>
      <c r="P25" s="32" t="s">
        <v>42</v>
      </c>
      <c r="Q25" s="32" t="s">
        <v>43</v>
      </c>
      <c r="R25" s="32" t="s">
        <v>44</v>
      </c>
      <c r="S25" s="32" t="s">
        <v>76</v>
      </c>
      <c r="T25" s="32" t="s">
        <v>77</v>
      </c>
      <c r="U25" s="32" t="s">
        <v>78</v>
      </c>
      <c r="V25" s="32" t="s">
        <v>79</v>
      </c>
      <c r="W25" s="32" t="s">
        <v>80</v>
      </c>
      <c r="X25" s="32" t="s">
        <v>81</v>
      </c>
      <c r="Y25" s="32" t="s">
        <v>82</v>
      </c>
      <c r="Z25" s="32" t="s">
        <v>83</v>
      </c>
      <c r="AA25" s="32" t="s">
        <v>84</v>
      </c>
      <c r="AB25" s="153"/>
      <c r="AC25" s="32" t="s">
        <v>42</v>
      </c>
      <c r="AD25" s="32" t="s">
        <v>43</v>
      </c>
      <c r="AE25" s="32" t="s">
        <v>44</v>
      </c>
      <c r="AF25" s="32" t="s">
        <v>76</v>
      </c>
      <c r="AG25" s="32" t="s">
        <v>77</v>
      </c>
      <c r="AH25" s="232" t="s">
        <v>78</v>
      </c>
      <c r="AI25" s="32" t="s">
        <v>79</v>
      </c>
      <c r="AJ25" s="32" t="s">
        <v>80</v>
      </c>
      <c r="AK25" s="32" t="s">
        <v>81</v>
      </c>
      <c r="AL25" s="32" t="s">
        <v>82</v>
      </c>
      <c r="AM25" s="32" t="s">
        <v>83</v>
      </c>
      <c r="AN25" s="32" t="s">
        <v>84</v>
      </c>
      <c r="AO25" s="153"/>
      <c r="AP25" s="32" t="s">
        <v>42</v>
      </c>
      <c r="AQ25" s="32" t="s">
        <v>43</v>
      </c>
      <c r="AR25" s="32" t="s">
        <v>44</v>
      </c>
      <c r="AS25" s="32" t="s">
        <v>76</v>
      </c>
      <c r="AT25" s="32" t="s">
        <v>77</v>
      </c>
      <c r="AU25" s="32" t="s">
        <v>78</v>
      </c>
      <c r="AV25" s="32" t="s">
        <v>79</v>
      </c>
      <c r="AW25" s="32" t="s">
        <v>80</v>
      </c>
      <c r="AX25" s="32" t="s">
        <v>81</v>
      </c>
      <c r="AY25" s="32" t="s">
        <v>82</v>
      </c>
      <c r="AZ25" s="32" t="s">
        <v>83</v>
      </c>
      <c r="BA25" s="32" t="s">
        <v>83</v>
      </c>
      <c r="BB25" s="153"/>
    </row>
    <row r="26" spans="1:54" ht="16" thickBot="1" x14ac:dyDescent="0.4">
      <c r="A26" s="28" t="s">
        <v>90</v>
      </c>
      <c r="B26" s="172">
        <f>B22</f>
        <v>1</v>
      </c>
      <c r="C26" s="33">
        <f t="shared" ref="C26:N28" si="0">B26+C22</f>
        <v>2</v>
      </c>
      <c r="D26" s="33">
        <f t="shared" si="0"/>
        <v>3</v>
      </c>
      <c r="E26" s="33">
        <f t="shared" si="0"/>
        <v>4</v>
      </c>
      <c r="F26" s="33">
        <f t="shared" si="0"/>
        <v>5</v>
      </c>
      <c r="G26" s="33">
        <f t="shared" si="0"/>
        <v>6</v>
      </c>
      <c r="H26" s="33">
        <f t="shared" si="0"/>
        <v>7</v>
      </c>
      <c r="I26" s="33">
        <f t="shared" si="0"/>
        <v>8</v>
      </c>
      <c r="J26" s="33">
        <f t="shared" si="0"/>
        <v>8</v>
      </c>
      <c r="K26" s="33">
        <f t="shared" si="0"/>
        <v>8</v>
      </c>
      <c r="L26" s="33">
        <f t="shared" si="0"/>
        <v>8</v>
      </c>
      <c r="M26" s="33">
        <f t="shared" si="0"/>
        <v>8</v>
      </c>
      <c r="N26" s="33">
        <f t="shared" si="0"/>
        <v>8</v>
      </c>
      <c r="O26" s="152"/>
      <c r="P26" s="33">
        <f>N26+P22</f>
        <v>8</v>
      </c>
      <c r="Q26" s="33">
        <f t="shared" ref="Q26:AA26" si="1">P26+Q22</f>
        <v>8</v>
      </c>
      <c r="R26" s="33">
        <f t="shared" si="1"/>
        <v>8</v>
      </c>
      <c r="S26" s="33">
        <f t="shared" si="1"/>
        <v>8</v>
      </c>
      <c r="T26" s="33">
        <f t="shared" si="1"/>
        <v>8</v>
      </c>
      <c r="U26" s="33">
        <f t="shared" si="1"/>
        <v>8</v>
      </c>
      <c r="V26" s="33">
        <f t="shared" si="1"/>
        <v>8</v>
      </c>
      <c r="W26" s="33">
        <f t="shared" si="1"/>
        <v>8</v>
      </c>
      <c r="X26" s="33">
        <f t="shared" si="1"/>
        <v>8</v>
      </c>
      <c r="Y26" s="33">
        <f t="shared" si="1"/>
        <v>8</v>
      </c>
      <c r="Z26" s="33">
        <f>Y26+Z22</f>
        <v>8</v>
      </c>
      <c r="AA26" s="33">
        <f t="shared" si="1"/>
        <v>8</v>
      </c>
      <c r="AB26" s="152"/>
      <c r="AC26" s="33">
        <f>AA26+AC22</f>
        <v>8</v>
      </c>
      <c r="AD26" s="33">
        <f t="shared" ref="AD26:AD28" si="2">AC26+AD22</f>
        <v>8</v>
      </c>
      <c r="AE26" s="33">
        <f t="shared" ref="AD26:AN26" si="3">AD26+AE22</f>
        <v>8</v>
      </c>
      <c r="AF26" s="33">
        <f t="shared" si="3"/>
        <v>8</v>
      </c>
      <c r="AG26" s="33">
        <f t="shared" si="3"/>
        <v>8</v>
      </c>
      <c r="AH26" s="209">
        <f t="shared" si="3"/>
        <v>8</v>
      </c>
      <c r="AI26" s="33">
        <f t="shared" si="3"/>
        <v>8</v>
      </c>
      <c r="AJ26" s="33">
        <f t="shared" si="3"/>
        <v>8</v>
      </c>
      <c r="AK26" s="33">
        <f t="shared" si="3"/>
        <v>8</v>
      </c>
      <c r="AL26" s="33">
        <f t="shared" si="3"/>
        <v>8</v>
      </c>
      <c r="AM26" s="33">
        <f t="shared" si="3"/>
        <v>8</v>
      </c>
      <c r="AN26" s="33">
        <f t="shared" si="3"/>
        <v>8</v>
      </c>
      <c r="AO26" s="152"/>
      <c r="AP26" s="33">
        <f>AN26+AP22</f>
        <v>8</v>
      </c>
      <c r="AQ26" s="33">
        <f t="shared" ref="AQ26:AQ28" si="4">AP26+AQ22</f>
        <v>8</v>
      </c>
      <c r="AR26" s="33">
        <f t="shared" ref="AR26:AR28" si="5">AQ26+AR22</f>
        <v>8</v>
      </c>
      <c r="AS26" s="33">
        <f t="shared" ref="AS26:AS28" si="6">AR26+AS22</f>
        <v>8</v>
      </c>
      <c r="AT26" s="33">
        <f t="shared" ref="AT26:AT28" si="7">AS26+AT22</f>
        <v>8</v>
      </c>
      <c r="AU26" s="33">
        <f t="shared" ref="AU26:AU28" si="8">AT26+AU22</f>
        <v>8</v>
      </c>
      <c r="AV26" s="33">
        <f t="shared" ref="AV26:AV28" si="9">AU26+AV22</f>
        <v>8</v>
      </c>
      <c r="AW26" s="33">
        <f t="shared" ref="AW26:AW28" si="10">AV26+AW22</f>
        <v>8</v>
      </c>
      <c r="AX26" s="33">
        <f t="shared" ref="AX26:AX28" si="11">AW26+AX22</f>
        <v>8</v>
      </c>
      <c r="AY26" s="33">
        <f t="shared" ref="AY26:AY28" si="12">AX26+AY22</f>
        <v>8</v>
      </c>
      <c r="AZ26" s="33">
        <f t="shared" ref="AZ26:BA28" si="13">AY26+AZ22</f>
        <v>8</v>
      </c>
      <c r="BA26" s="33">
        <f t="shared" si="13"/>
        <v>8</v>
      </c>
      <c r="BB26" s="152"/>
    </row>
    <row r="27" spans="1:54" ht="16" thickBot="1" x14ac:dyDescent="0.4">
      <c r="A27" s="30" t="s">
        <v>91</v>
      </c>
      <c r="B27" s="173">
        <v>360</v>
      </c>
      <c r="C27" s="113">
        <f>B27+C23</f>
        <v>720</v>
      </c>
      <c r="D27" s="113">
        <f>C27+D23</f>
        <v>1080</v>
      </c>
      <c r="E27" s="113">
        <f>D27+E23</f>
        <v>1440</v>
      </c>
      <c r="F27" s="113">
        <f>E27+F23</f>
        <v>1800</v>
      </c>
      <c r="G27" s="113">
        <f>F27+G23</f>
        <v>2160</v>
      </c>
      <c r="H27" s="113">
        <f t="shared" si="0"/>
        <v>2520</v>
      </c>
      <c r="I27" s="113">
        <f t="shared" si="0"/>
        <v>2880</v>
      </c>
      <c r="J27" s="113">
        <f t="shared" si="0"/>
        <v>2880</v>
      </c>
      <c r="K27" s="113">
        <f t="shared" si="0"/>
        <v>2880</v>
      </c>
      <c r="L27" s="113">
        <f t="shared" si="0"/>
        <v>2880</v>
      </c>
      <c r="M27" s="113">
        <f t="shared" si="0"/>
        <v>2880</v>
      </c>
      <c r="N27" s="113">
        <f t="shared" si="0"/>
        <v>2880</v>
      </c>
      <c r="O27" s="152"/>
      <c r="P27" s="33">
        <f t="shared" ref="P27:P28" si="14">N27+P23</f>
        <v>2880</v>
      </c>
      <c r="Q27" s="113">
        <f t="shared" ref="Q27:AA27" si="15">P27+Q23</f>
        <v>2880</v>
      </c>
      <c r="R27" s="113">
        <f t="shared" si="15"/>
        <v>2880</v>
      </c>
      <c r="S27" s="113">
        <f t="shared" si="15"/>
        <v>2880</v>
      </c>
      <c r="T27" s="113">
        <f t="shared" si="15"/>
        <v>2880</v>
      </c>
      <c r="U27" s="113">
        <f t="shared" si="15"/>
        <v>2880</v>
      </c>
      <c r="V27" s="113">
        <f t="shared" si="15"/>
        <v>2880</v>
      </c>
      <c r="W27" s="113">
        <f t="shared" si="15"/>
        <v>2880</v>
      </c>
      <c r="X27" s="113">
        <f t="shared" si="15"/>
        <v>2880</v>
      </c>
      <c r="Y27" s="113">
        <f t="shared" si="15"/>
        <v>2880</v>
      </c>
      <c r="Z27" s="113">
        <f>Y27+Z23</f>
        <v>2880</v>
      </c>
      <c r="AA27" s="113">
        <f t="shared" si="15"/>
        <v>2880</v>
      </c>
      <c r="AB27" s="152"/>
      <c r="AC27" s="33">
        <f t="shared" ref="AC27:AC28" si="16">AA27+AC23</f>
        <v>2880</v>
      </c>
      <c r="AD27" s="113">
        <f t="shared" si="2"/>
        <v>2880</v>
      </c>
      <c r="AE27" s="113">
        <f t="shared" ref="AD27:AN27" si="17">AD27+AE23</f>
        <v>2880</v>
      </c>
      <c r="AF27" s="113">
        <f t="shared" si="17"/>
        <v>2880</v>
      </c>
      <c r="AG27" s="113">
        <f t="shared" si="17"/>
        <v>2880</v>
      </c>
      <c r="AH27" s="210">
        <v>2600</v>
      </c>
      <c r="AI27" s="113">
        <f t="shared" si="17"/>
        <v>2600</v>
      </c>
      <c r="AJ27" s="113">
        <f t="shared" si="17"/>
        <v>2600</v>
      </c>
      <c r="AK27" s="113">
        <f t="shared" si="17"/>
        <v>2600</v>
      </c>
      <c r="AL27" s="113">
        <f t="shared" si="17"/>
        <v>2600</v>
      </c>
      <c r="AM27" s="113">
        <f t="shared" si="17"/>
        <v>2600</v>
      </c>
      <c r="AN27" s="113">
        <f t="shared" si="17"/>
        <v>2600</v>
      </c>
      <c r="AO27" s="152"/>
      <c r="AP27" s="33">
        <f t="shared" ref="AP27:AP28" si="18">AN27+AP23</f>
        <v>2600</v>
      </c>
      <c r="AQ27" s="113">
        <f t="shared" si="4"/>
        <v>2600</v>
      </c>
      <c r="AR27" s="113">
        <f t="shared" si="5"/>
        <v>2600</v>
      </c>
      <c r="AS27" s="113">
        <f t="shared" si="6"/>
        <v>2600</v>
      </c>
      <c r="AT27" s="113">
        <f t="shared" si="7"/>
        <v>2600</v>
      </c>
      <c r="AU27" s="113">
        <f t="shared" si="8"/>
        <v>2600</v>
      </c>
      <c r="AV27" s="113">
        <f t="shared" si="9"/>
        <v>2600</v>
      </c>
      <c r="AW27" s="113">
        <f t="shared" si="10"/>
        <v>2600</v>
      </c>
      <c r="AX27" s="113">
        <f t="shared" si="11"/>
        <v>2600</v>
      </c>
      <c r="AY27" s="113">
        <f t="shared" si="12"/>
        <v>2600</v>
      </c>
      <c r="AZ27" s="113">
        <f t="shared" si="13"/>
        <v>2600</v>
      </c>
      <c r="BA27" s="113">
        <f t="shared" si="13"/>
        <v>2600</v>
      </c>
      <c r="BB27" s="152"/>
    </row>
    <row r="28" spans="1:54" ht="16" thickBot="1" x14ac:dyDescent="0.4">
      <c r="A28" s="28" t="s">
        <v>168</v>
      </c>
      <c r="B28" s="172">
        <f>B24</f>
        <v>1</v>
      </c>
      <c r="C28" s="33">
        <f t="shared" si="0"/>
        <v>2</v>
      </c>
      <c r="D28" s="33">
        <f t="shared" si="0"/>
        <v>3</v>
      </c>
      <c r="E28" s="33">
        <f t="shared" si="0"/>
        <v>4</v>
      </c>
      <c r="F28" s="33">
        <f t="shared" si="0"/>
        <v>5</v>
      </c>
      <c r="G28" s="33">
        <f t="shared" si="0"/>
        <v>6</v>
      </c>
      <c r="H28" s="33">
        <f t="shared" si="0"/>
        <v>7</v>
      </c>
      <c r="I28" s="33">
        <f t="shared" si="0"/>
        <v>8</v>
      </c>
      <c r="J28" s="33">
        <f t="shared" si="0"/>
        <v>8</v>
      </c>
      <c r="K28" s="33">
        <f t="shared" si="0"/>
        <v>8</v>
      </c>
      <c r="L28" s="33">
        <f t="shared" si="0"/>
        <v>8</v>
      </c>
      <c r="M28" s="33">
        <f t="shared" si="0"/>
        <v>8</v>
      </c>
      <c r="N28" s="33">
        <f t="shared" si="0"/>
        <v>8</v>
      </c>
      <c r="O28" s="152"/>
      <c r="P28" s="33">
        <f t="shared" si="14"/>
        <v>8</v>
      </c>
      <c r="Q28" s="33">
        <f t="shared" ref="Q28:AA28" si="19">P28+Q24</f>
        <v>8</v>
      </c>
      <c r="R28" s="33">
        <f t="shared" si="19"/>
        <v>8</v>
      </c>
      <c r="S28" s="33">
        <f t="shared" si="19"/>
        <v>8</v>
      </c>
      <c r="T28" s="33">
        <f t="shared" si="19"/>
        <v>8</v>
      </c>
      <c r="U28" s="33">
        <f t="shared" si="19"/>
        <v>8</v>
      </c>
      <c r="V28" s="33">
        <f t="shared" si="19"/>
        <v>8</v>
      </c>
      <c r="W28" s="33">
        <f t="shared" si="19"/>
        <v>8</v>
      </c>
      <c r="X28" s="33">
        <f t="shared" si="19"/>
        <v>8</v>
      </c>
      <c r="Y28" s="33">
        <f t="shared" si="19"/>
        <v>8</v>
      </c>
      <c r="Z28" s="33">
        <f>Y28+Z24</f>
        <v>8</v>
      </c>
      <c r="AA28" s="33">
        <f t="shared" si="19"/>
        <v>8</v>
      </c>
      <c r="AB28" s="152"/>
      <c r="AC28" s="33">
        <f t="shared" si="16"/>
        <v>8</v>
      </c>
      <c r="AD28" s="33">
        <f t="shared" si="2"/>
        <v>8</v>
      </c>
      <c r="AE28" s="33">
        <f t="shared" ref="AD28:AN28" si="20">AD28+AE24</f>
        <v>8</v>
      </c>
      <c r="AF28" s="33">
        <f t="shared" si="20"/>
        <v>8</v>
      </c>
      <c r="AG28" s="33">
        <f t="shared" si="20"/>
        <v>8</v>
      </c>
      <c r="AH28" s="209">
        <f t="shared" si="20"/>
        <v>8</v>
      </c>
      <c r="AI28" s="33">
        <f t="shared" si="20"/>
        <v>8</v>
      </c>
      <c r="AJ28" s="33">
        <f t="shared" si="20"/>
        <v>8</v>
      </c>
      <c r="AK28" s="33">
        <f t="shared" si="20"/>
        <v>8</v>
      </c>
      <c r="AL28" s="33">
        <f t="shared" si="20"/>
        <v>8</v>
      </c>
      <c r="AM28" s="33">
        <f t="shared" si="20"/>
        <v>8</v>
      </c>
      <c r="AN28" s="33">
        <f t="shared" si="20"/>
        <v>8</v>
      </c>
      <c r="AO28" s="152"/>
      <c r="AP28" s="33">
        <f t="shared" si="18"/>
        <v>8</v>
      </c>
      <c r="AQ28" s="33">
        <f t="shared" si="4"/>
        <v>8</v>
      </c>
      <c r="AR28" s="33">
        <f t="shared" si="5"/>
        <v>8</v>
      </c>
      <c r="AS28" s="33">
        <f t="shared" si="6"/>
        <v>8</v>
      </c>
      <c r="AT28" s="33">
        <f t="shared" si="7"/>
        <v>8</v>
      </c>
      <c r="AU28" s="33">
        <f t="shared" si="8"/>
        <v>8</v>
      </c>
      <c r="AV28" s="33">
        <f t="shared" si="9"/>
        <v>8</v>
      </c>
      <c r="AW28" s="33">
        <f t="shared" si="10"/>
        <v>8</v>
      </c>
      <c r="AX28" s="33">
        <f t="shared" si="11"/>
        <v>8</v>
      </c>
      <c r="AY28" s="33">
        <f t="shared" si="12"/>
        <v>8</v>
      </c>
      <c r="AZ28" s="33">
        <f t="shared" si="13"/>
        <v>8</v>
      </c>
      <c r="BA28" s="33">
        <f t="shared" si="13"/>
        <v>8</v>
      </c>
      <c r="BB28" s="152"/>
    </row>
    <row r="29" spans="1:54" ht="16" thickBot="1" x14ac:dyDescent="0.4">
      <c r="A29" s="30" t="s">
        <v>92</v>
      </c>
      <c r="B29" s="174">
        <f t="shared" ref="B29:N29" si="21">B27*$D$18/1000/1000</f>
        <v>1.17</v>
      </c>
      <c r="C29" s="40">
        <f t="shared" si="21"/>
        <v>2.34</v>
      </c>
      <c r="D29" s="40">
        <f t="shared" si="21"/>
        <v>3.51</v>
      </c>
      <c r="E29" s="40">
        <f t="shared" si="21"/>
        <v>4.68</v>
      </c>
      <c r="F29" s="40">
        <f t="shared" si="21"/>
        <v>5.85</v>
      </c>
      <c r="G29" s="40">
        <f t="shared" si="21"/>
        <v>7.02</v>
      </c>
      <c r="H29" s="40">
        <f t="shared" si="21"/>
        <v>8.19</v>
      </c>
      <c r="I29" s="40">
        <f t="shared" si="21"/>
        <v>9.36</v>
      </c>
      <c r="J29" s="40">
        <f t="shared" si="21"/>
        <v>9.36</v>
      </c>
      <c r="K29" s="40">
        <f t="shared" si="21"/>
        <v>9.36</v>
      </c>
      <c r="L29" s="40">
        <f t="shared" si="21"/>
        <v>9.36</v>
      </c>
      <c r="M29" s="40">
        <f t="shared" si="21"/>
        <v>9.36</v>
      </c>
      <c r="N29" s="40">
        <f t="shared" si="21"/>
        <v>9.36</v>
      </c>
      <c r="O29" s="154"/>
      <c r="P29" s="40">
        <f t="shared" ref="P29:AA29" si="22">P27*$D$18/1000/1000</f>
        <v>9.36</v>
      </c>
      <c r="Q29" s="40">
        <f t="shared" si="22"/>
        <v>9.36</v>
      </c>
      <c r="R29" s="40">
        <f t="shared" si="22"/>
        <v>9.36</v>
      </c>
      <c r="S29" s="40">
        <f t="shared" si="22"/>
        <v>9.36</v>
      </c>
      <c r="T29" s="40">
        <f t="shared" si="22"/>
        <v>9.36</v>
      </c>
      <c r="U29" s="40">
        <f t="shared" si="22"/>
        <v>9.36</v>
      </c>
      <c r="V29" s="40">
        <f t="shared" si="22"/>
        <v>9.36</v>
      </c>
      <c r="W29" s="40">
        <f t="shared" si="22"/>
        <v>9.36</v>
      </c>
      <c r="X29" s="40">
        <f t="shared" si="22"/>
        <v>9.36</v>
      </c>
      <c r="Y29" s="40">
        <f t="shared" si="22"/>
        <v>9.36</v>
      </c>
      <c r="Z29" s="40">
        <f t="shared" si="22"/>
        <v>9.36</v>
      </c>
      <c r="AA29" s="40">
        <f t="shared" si="22"/>
        <v>9.36</v>
      </c>
      <c r="AB29" s="154"/>
      <c r="AC29" s="40">
        <f t="shared" ref="AC29:AD29" si="23">AC27*$D$18/1000/1000</f>
        <v>9.36</v>
      </c>
      <c r="AD29" s="40">
        <f t="shared" si="23"/>
        <v>9.36</v>
      </c>
      <c r="AE29" s="40">
        <f t="shared" ref="AC29:AN29" si="24">AE27*$D$18/1000/1000</f>
        <v>9.36</v>
      </c>
      <c r="AF29" s="40">
        <f t="shared" si="24"/>
        <v>9.36</v>
      </c>
      <c r="AG29" s="40">
        <f t="shared" si="24"/>
        <v>9.36</v>
      </c>
      <c r="AH29" s="211">
        <f t="shared" si="24"/>
        <v>8.4499999999999993</v>
      </c>
      <c r="AI29" s="40">
        <f t="shared" si="24"/>
        <v>8.4499999999999993</v>
      </c>
      <c r="AJ29" s="40">
        <f t="shared" si="24"/>
        <v>8.4499999999999993</v>
      </c>
      <c r="AK29" s="40">
        <f t="shared" si="24"/>
        <v>8.4499999999999993</v>
      </c>
      <c r="AL29" s="40">
        <f t="shared" si="24"/>
        <v>8.4499999999999993</v>
      </c>
      <c r="AM29" s="40">
        <f t="shared" si="24"/>
        <v>8.4499999999999993</v>
      </c>
      <c r="AN29" s="40">
        <f t="shared" si="24"/>
        <v>8.4499999999999993</v>
      </c>
      <c r="AO29" s="154"/>
      <c r="AP29" s="40">
        <f t="shared" ref="AP29:AQ29" si="25">AP27*$D$18/1000/1000</f>
        <v>8.4499999999999993</v>
      </c>
      <c r="AQ29" s="40">
        <f t="shared" si="25"/>
        <v>8.4499999999999993</v>
      </c>
      <c r="AR29" s="40">
        <f t="shared" ref="AR29:AZ29" si="26">AR27*$D$18/1000/1000</f>
        <v>8.4499999999999993</v>
      </c>
      <c r="AS29" s="40">
        <f t="shared" si="26"/>
        <v>8.4499999999999993</v>
      </c>
      <c r="AT29" s="40">
        <f t="shared" si="26"/>
        <v>8.4499999999999993</v>
      </c>
      <c r="AU29" s="40">
        <f t="shared" si="26"/>
        <v>8.4499999999999993</v>
      </c>
      <c r="AV29" s="40">
        <f t="shared" si="26"/>
        <v>8.4499999999999993</v>
      </c>
      <c r="AW29" s="40">
        <f t="shared" si="26"/>
        <v>8.4499999999999993</v>
      </c>
      <c r="AX29" s="40">
        <f t="shared" si="26"/>
        <v>8.4499999999999993</v>
      </c>
      <c r="AY29" s="40">
        <f t="shared" si="26"/>
        <v>8.4499999999999993</v>
      </c>
      <c r="AZ29" s="40">
        <f t="shared" si="26"/>
        <v>8.4499999999999993</v>
      </c>
      <c r="BA29" s="40">
        <f t="shared" ref="BA29" si="27">BA27*$D$18/1000/1000</f>
        <v>8.4499999999999993</v>
      </c>
      <c r="BB29" s="154"/>
    </row>
    <row r="30" spans="1:54" ht="16" thickBot="1" x14ac:dyDescent="0.4">
      <c r="A30" s="30" t="s">
        <v>93</v>
      </c>
      <c r="B30" s="175">
        <f>B27*$C$18/1000</f>
        <v>43.2</v>
      </c>
      <c r="C30" s="166">
        <f>(C27)*$C$18/1000</f>
        <v>86.4</v>
      </c>
      <c r="D30" s="166">
        <f t="shared" ref="D30:N30" si="28">(D27)*$C$18/1000</f>
        <v>129.6</v>
      </c>
      <c r="E30" s="166">
        <f t="shared" si="28"/>
        <v>172.8</v>
      </c>
      <c r="F30" s="166">
        <f t="shared" si="28"/>
        <v>216</v>
      </c>
      <c r="G30" s="166">
        <f t="shared" si="28"/>
        <v>259.2</v>
      </c>
      <c r="H30" s="166">
        <f t="shared" si="28"/>
        <v>302.39999999999998</v>
      </c>
      <c r="I30" s="166">
        <f t="shared" si="28"/>
        <v>345.6</v>
      </c>
      <c r="J30" s="166">
        <f t="shared" si="28"/>
        <v>345.6</v>
      </c>
      <c r="K30" s="166">
        <f t="shared" si="28"/>
        <v>345.6</v>
      </c>
      <c r="L30" s="166">
        <f t="shared" si="28"/>
        <v>345.6</v>
      </c>
      <c r="M30" s="166">
        <f t="shared" si="28"/>
        <v>345.6</v>
      </c>
      <c r="N30" s="166">
        <f t="shared" si="28"/>
        <v>345.6</v>
      </c>
      <c r="O30" s="152"/>
      <c r="P30" s="166">
        <f t="shared" ref="P30:AA30" si="29">(P27)*$C$18/1000</f>
        <v>345.6</v>
      </c>
      <c r="Q30" s="166">
        <f t="shared" si="29"/>
        <v>345.6</v>
      </c>
      <c r="R30" s="166">
        <f t="shared" si="29"/>
        <v>345.6</v>
      </c>
      <c r="S30" s="166">
        <f t="shared" si="29"/>
        <v>345.6</v>
      </c>
      <c r="T30" s="166">
        <f t="shared" si="29"/>
        <v>345.6</v>
      </c>
      <c r="U30" s="166">
        <f t="shared" si="29"/>
        <v>345.6</v>
      </c>
      <c r="V30" s="166">
        <f t="shared" si="29"/>
        <v>345.6</v>
      </c>
      <c r="W30" s="166">
        <f t="shared" si="29"/>
        <v>345.6</v>
      </c>
      <c r="X30" s="166">
        <f t="shared" si="29"/>
        <v>345.6</v>
      </c>
      <c r="Y30" s="166">
        <f t="shared" si="29"/>
        <v>345.6</v>
      </c>
      <c r="Z30" s="166">
        <f t="shared" si="29"/>
        <v>345.6</v>
      </c>
      <c r="AA30" s="166">
        <f t="shared" si="29"/>
        <v>345.6</v>
      </c>
      <c r="AB30" s="152"/>
      <c r="AC30" s="166">
        <f t="shared" ref="AC30:AD30" si="30">(AC27)*$C$18/1000</f>
        <v>345.6</v>
      </c>
      <c r="AD30" s="166">
        <f t="shared" si="30"/>
        <v>345.6</v>
      </c>
      <c r="AE30" s="166">
        <f t="shared" ref="AC30:AN30" si="31">(AE27)*$C$18/1000</f>
        <v>345.6</v>
      </c>
      <c r="AF30" s="166">
        <f t="shared" si="31"/>
        <v>345.6</v>
      </c>
      <c r="AG30" s="166">
        <f t="shared" si="31"/>
        <v>345.6</v>
      </c>
      <c r="AH30" s="212">
        <f t="shared" si="31"/>
        <v>312</v>
      </c>
      <c r="AI30" s="166">
        <f t="shared" si="31"/>
        <v>312</v>
      </c>
      <c r="AJ30" s="166">
        <f t="shared" si="31"/>
        <v>312</v>
      </c>
      <c r="AK30" s="166">
        <f t="shared" si="31"/>
        <v>312</v>
      </c>
      <c r="AL30" s="166">
        <f t="shared" si="31"/>
        <v>312</v>
      </c>
      <c r="AM30" s="166">
        <f t="shared" si="31"/>
        <v>312</v>
      </c>
      <c r="AN30" s="166">
        <f t="shared" si="31"/>
        <v>312</v>
      </c>
      <c r="AO30" s="152"/>
      <c r="AP30" s="166">
        <f t="shared" ref="AP30:AQ30" si="32">(AP27)*$C$18/1000</f>
        <v>312</v>
      </c>
      <c r="AQ30" s="166">
        <f t="shared" si="32"/>
        <v>312</v>
      </c>
      <c r="AR30" s="166">
        <f t="shared" ref="AR30:AZ30" si="33">(AR27)*$C$18/1000</f>
        <v>312</v>
      </c>
      <c r="AS30" s="166">
        <f t="shared" si="33"/>
        <v>312</v>
      </c>
      <c r="AT30" s="166">
        <f t="shared" si="33"/>
        <v>312</v>
      </c>
      <c r="AU30" s="166">
        <f t="shared" si="33"/>
        <v>312</v>
      </c>
      <c r="AV30" s="166">
        <f t="shared" si="33"/>
        <v>312</v>
      </c>
      <c r="AW30" s="166">
        <f t="shared" si="33"/>
        <v>312</v>
      </c>
      <c r="AX30" s="166">
        <f t="shared" si="33"/>
        <v>312</v>
      </c>
      <c r="AY30" s="166">
        <f t="shared" si="33"/>
        <v>312</v>
      </c>
      <c r="AZ30" s="166">
        <f t="shared" si="33"/>
        <v>312</v>
      </c>
      <c r="BA30" s="166">
        <f t="shared" ref="BA30" si="34">(BA27)*$C$18/1000</f>
        <v>312</v>
      </c>
      <c r="BB30" s="152"/>
    </row>
    <row r="31" spans="1:54" ht="16" thickBot="1" x14ac:dyDescent="0.4">
      <c r="A31" s="30" t="s">
        <v>94</v>
      </c>
      <c r="B31" s="193">
        <f t="shared" ref="B31:N31" si="35">((B27)*($C$18))</f>
        <v>43200</v>
      </c>
      <c r="C31" s="193">
        <f t="shared" si="35"/>
        <v>86400</v>
      </c>
      <c r="D31" s="193">
        <f t="shared" si="35"/>
        <v>129600</v>
      </c>
      <c r="E31" s="193">
        <f t="shared" si="35"/>
        <v>172800</v>
      </c>
      <c r="F31" s="193">
        <f t="shared" si="35"/>
        <v>216000</v>
      </c>
      <c r="G31" s="193">
        <f t="shared" si="35"/>
        <v>259200</v>
      </c>
      <c r="H31" s="193">
        <f t="shared" si="35"/>
        <v>302400</v>
      </c>
      <c r="I31" s="193">
        <f t="shared" si="35"/>
        <v>345600</v>
      </c>
      <c r="J31" s="193">
        <f t="shared" si="35"/>
        <v>345600</v>
      </c>
      <c r="K31" s="193">
        <f t="shared" si="35"/>
        <v>345600</v>
      </c>
      <c r="L31" s="193">
        <f t="shared" si="35"/>
        <v>345600</v>
      </c>
      <c r="M31" s="193">
        <f t="shared" si="35"/>
        <v>345600</v>
      </c>
      <c r="N31" s="193">
        <f t="shared" si="35"/>
        <v>345600</v>
      </c>
      <c r="O31" s="155"/>
      <c r="P31" s="193">
        <f t="shared" ref="P31:AA31" si="36">((P27)*($C$18))</f>
        <v>345600</v>
      </c>
      <c r="Q31" s="193">
        <f t="shared" si="36"/>
        <v>345600</v>
      </c>
      <c r="R31" s="193">
        <f t="shared" si="36"/>
        <v>345600</v>
      </c>
      <c r="S31" s="193">
        <f t="shared" si="36"/>
        <v>345600</v>
      </c>
      <c r="T31" s="193">
        <f t="shared" si="36"/>
        <v>345600</v>
      </c>
      <c r="U31" s="193">
        <f t="shared" si="36"/>
        <v>345600</v>
      </c>
      <c r="V31" s="193">
        <f t="shared" si="36"/>
        <v>345600</v>
      </c>
      <c r="W31" s="193">
        <f t="shared" si="36"/>
        <v>345600</v>
      </c>
      <c r="X31" s="193">
        <f t="shared" si="36"/>
        <v>345600</v>
      </c>
      <c r="Y31" s="193">
        <f t="shared" si="36"/>
        <v>345600</v>
      </c>
      <c r="Z31" s="193">
        <f t="shared" si="36"/>
        <v>345600</v>
      </c>
      <c r="AA31" s="193">
        <f t="shared" si="36"/>
        <v>345600</v>
      </c>
      <c r="AB31" s="155"/>
      <c r="AC31" s="193">
        <f t="shared" ref="AC31:AD31" si="37">((AC27)*($C$18))</f>
        <v>345600</v>
      </c>
      <c r="AD31" s="193">
        <f t="shared" si="37"/>
        <v>345600</v>
      </c>
      <c r="AE31" s="193">
        <f t="shared" ref="AC31:AG31" si="38">((AE27)*($C$18))</f>
        <v>345600</v>
      </c>
      <c r="AF31" s="193">
        <f t="shared" si="38"/>
        <v>345600</v>
      </c>
      <c r="AG31" s="193">
        <f t="shared" si="38"/>
        <v>345600</v>
      </c>
      <c r="AH31" s="213">
        <f>((AH27)*($AJ$18))</f>
        <v>520000</v>
      </c>
      <c r="AI31" s="213">
        <f t="shared" ref="AI31:AQ31" si="39">((AI27)*($AJ$18))</f>
        <v>520000</v>
      </c>
      <c r="AJ31" s="213">
        <f t="shared" si="39"/>
        <v>520000</v>
      </c>
      <c r="AK31" s="213">
        <f t="shared" si="39"/>
        <v>520000</v>
      </c>
      <c r="AL31" s="213">
        <f t="shared" si="39"/>
        <v>520000</v>
      </c>
      <c r="AM31" s="213">
        <f t="shared" si="39"/>
        <v>520000</v>
      </c>
      <c r="AN31" s="213">
        <f t="shared" si="39"/>
        <v>520000</v>
      </c>
      <c r="AO31" s="155"/>
      <c r="AP31" s="213">
        <f t="shared" si="39"/>
        <v>520000</v>
      </c>
      <c r="AQ31" s="213">
        <f t="shared" si="39"/>
        <v>520000</v>
      </c>
      <c r="AR31" s="213">
        <f t="shared" ref="AR31:AZ31" si="40">((AR27)*($AJ$18))</f>
        <v>520000</v>
      </c>
      <c r="AS31" s="213">
        <f t="shared" si="40"/>
        <v>520000</v>
      </c>
      <c r="AT31" s="213">
        <f t="shared" si="40"/>
        <v>520000</v>
      </c>
      <c r="AU31" s="213">
        <f t="shared" si="40"/>
        <v>520000</v>
      </c>
      <c r="AV31" s="213">
        <f t="shared" si="40"/>
        <v>520000</v>
      </c>
      <c r="AW31" s="213">
        <f t="shared" si="40"/>
        <v>520000</v>
      </c>
      <c r="AX31" s="213">
        <f t="shared" si="40"/>
        <v>520000</v>
      </c>
      <c r="AY31" s="213">
        <f t="shared" si="40"/>
        <v>520000</v>
      </c>
      <c r="AZ31" s="213">
        <f t="shared" si="40"/>
        <v>520000</v>
      </c>
      <c r="BA31" s="213">
        <f t="shared" ref="BA31" si="41">((BA27)*($AJ$18))</f>
        <v>520000</v>
      </c>
      <c r="BB31" s="155"/>
    </row>
    <row r="32" spans="1:54" ht="16" thickBot="1" x14ac:dyDescent="0.4">
      <c r="A32" s="27"/>
      <c r="B32" s="27"/>
      <c r="C32" s="27"/>
      <c r="D32" s="27"/>
      <c r="E32" s="27"/>
      <c r="F32" s="27"/>
      <c r="G32" s="27"/>
      <c r="H32" s="27"/>
      <c r="I32" s="27"/>
      <c r="J32" s="27"/>
      <c r="K32" s="27"/>
      <c r="L32" s="27"/>
      <c r="M32" s="27"/>
      <c r="N32" s="27"/>
      <c r="O32" s="27"/>
      <c r="AH32" s="183"/>
    </row>
    <row r="33" spans="1:54" ht="15.5" x14ac:dyDescent="0.35">
      <c r="A33" s="34" t="s">
        <v>40</v>
      </c>
      <c r="B33" s="35" t="s">
        <v>41</v>
      </c>
      <c r="C33" s="35" t="s">
        <v>42</v>
      </c>
      <c r="D33" s="36" t="s">
        <v>43</v>
      </c>
      <c r="E33" s="35" t="s">
        <v>44</v>
      </c>
      <c r="F33" s="36" t="s">
        <v>76</v>
      </c>
      <c r="G33" s="35" t="s">
        <v>77</v>
      </c>
      <c r="H33" s="36" t="s">
        <v>78</v>
      </c>
      <c r="I33" s="35" t="s">
        <v>79</v>
      </c>
      <c r="J33" s="36" t="s">
        <v>80</v>
      </c>
      <c r="K33" s="35" t="s">
        <v>81</v>
      </c>
      <c r="L33" s="36" t="s">
        <v>82</v>
      </c>
      <c r="M33" s="36" t="s">
        <v>83</v>
      </c>
      <c r="N33" s="36" t="s">
        <v>84</v>
      </c>
      <c r="O33" s="36"/>
      <c r="P33" s="35" t="s">
        <v>42</v>
      </c>
      <c r="Q33" s="36" t="s">
        <v>43</v>
      </c>
      <c r="R33" s="35" t="s">
        <v>44</v>
      </c>
      <c r="S33" s="36" t="s">
        <v>76</v>
      </c>
      <c r="T33" s="35" t="s">
        <v>77</v>
      </c>
      <c r="U33" s="36" t="s">
        <v>78</v>
      </c>
      <c r="V33" s="35" t="s">
        <v>79</v>
      </c>
      <c r="W33" s="36" t="s">
        <v>80</v>
      </c>
      <c r="X33" s="35" t="s">
        <v>81</v>
      </c>
      <c r="Y33" s="36" t="s">
        <v>82</v>
      </c>
      <c r="Z33" s="36" t="s">
        <v>83</v>
      </c>
      <c r="AA33" s="36" t="s">
        <v>84</v>
      </c>
      <c r="AB33" s="36"/>
      <c r="AC33" s="35" t="s">
        <v>42</v>
      </c>
      <c r="AD33" s="36" t="s">
        <v>43</v>
      </c>
      <c r="AE33" s="35" t="s">
        <v>44</v>
      </c>
      <c r="AF33" s="36" t="s">
        <v>76</v>
      </c>
      <c r="AG33" s="35" t="s">
        <v>77</v>
      </c>
      <c r="AH33" s="232" t="s">
        <v>78</v>
      </c>
      <c r="AI33" s="35" t="s">
        <v>79</v>
      </c>
      <c r="AJ33" s="36" t="s">
        <v>80</v>
      </c>
      <c r="AK33" s="35" t="s">
        <v>81</v>
      </c>
      <c r="AL33" s="36" t="s">
        <v>82</v>
      </c>
      <c r="AM33" s="36" t="s">
        <v>83</v>
      </c>
      <c r="AN33" s="36" t="s">
        <v>84</v>
      </c>
      <c r="AO33" s="36"/>
      <c r="AP33" s="35" t="s">
        <v>42</v>
      </c>
      <c r="AQ33" s="36" t="s">
        <v>43</v>
      </c>
      <c r="AR33" s="36" t="s">
        <v>43</v>
      </c>
      <c r="AS33" s="36" t="s">
        <v>43</v>
      </c>
      <c r="AT33" s="36" t="s">
        <v>43</v>
      </c>
      <c r="AU33" s="36" t="s">
        <v>43</v>
      </c>
      <c r="AV33" s="36" t="s">
        <v>43</v>
      </c>
      <c r="AW33" s="36" t="s">
        <v>43</v>
      </c>
      <c r="AX33" s="36" t="s">
        <v>43</v>
      </c>
      <c r="AY33" s="36" t="s">
        <v>43</v>
      </c>
      <c r="AZ33" s="36" t="s">
        <v>43</v>
      </c>
      <c r="BA33" s="36" t="s">
        <v>43</v>
      </c>
      <c r="BB33" s="36"/>
    </row>
    <row r="34" spans="1:54" ht="15.5" x14ac:dyDescent="0.35">
      <c r="A34" s="37" t="s">
        <v>18</v>
      </c>
      <c r="B34" s="18"/>
      <c r="C34" s="18"/>
      <c r="D34" s="19"/>
      <c r="E34" s="18"/>
      <c r="F34" s="19"/>
      <c r="G34" s="18"/>
      <c r="H34" s="19"/>
      <c r="I34" s="18"/>
      <c r="J34" s="19"/>
      <c r="K34" s="18"/>
      <c r="L34" s="19"/>
      <c r="M34" s="19"/>
      <c r="N34" s="19"/>
      <c r="O34" s="19"/>
      <c r="P34" s="18"/>
      <c r="Q34" s="19"/>
      <c r="R34" s="18"/>
      <c r="S34" s="19"/>
      <c r="T34" s="18"/>
      <c r="U34" s="19"/>
      <c r="V34" s="18"/>
      <c r="W34" s="19"/>
      <c r="X34" s="18"/>
      <c r="Y34" s="19"/>
      <c r="Z34" s="19"/>
      <c r="AA34" s="19"/>
      <c r="AB34" s="19"/>
      <c r="AC34" s="18"/>
      <c r="AD34" s="19"/>
      <c r="AE34" s="18"/>
      <c r="AF34" s="19"/>
      <c r="AG34" s="18"/>
      <c r="AH34" s="214"/>
      <c r="AI34" s="18"/>
      <c r="AJ34" s="19"/>
      <c r="AK34" s="18"/>
      <c r="AL34" s="19"/>
      <c r="AM34" s="19"/>
      <c r="AN34" s="19"/>
      <c r="AO34" s="19"/>
      <c r="AP34" s="18"/>
      <c r="AQ34" s="19"/>
      <c r="AR34" s="19"/>
      <c r="AS34" s="19"/>
      <c r="AT34" s="19"/>
      <c r="AU34" s="19"/>
      <c r="AV34" s="19"/>
      <c r="AW34" s="19"/>
      <c r="AX34" s="19"/>
      <c r="AY34" s="19"/>
      <c r="AZ34" s="19"/>
      <c r="BA34" s="19"/>
      <c r="BB34" s="19"/>
    </row>
    <row r="35" spans="1:54" ht="15.5" x14ac:dyDescent="0.35">
      <c r="A35" s="38" t="s">
        <v>183</v>
      </c>
      <c r="B35" s="20"/>
      <c r="C35" s="20"/>
      <c r="D35" s="21"/>
      <c r="E35" s="20"/>
      <c r="F35" s="22"/>
      <c r="G35" s="20"/>
      <c r="H35" s="22"/>
      <c r="I35" s="20"/>
      <c r="J35" s="22"/>
      <c r="K35" s="20"/>
      <c r="L35" s="20"/>
      <c r="M35" s="20"/>
      <c r="N35" s="20"/>
      <c r="O35" s="20"/>
      <c r="P35" s="20"/>
      <c r="Q35" s="21"/>
      <c r="R35" s="20"/>
      <c r="S35" s="21"/>
      <c r="T35" s="20"/>
      <c r="U35" s="21"/>
      <c r="V35" s="20"/>
      <c r="W35" s="21"/>
      <c r="X35" s="20"/>
      <c r="Y35" s="20"/>
      <c r="Z35" s="20"/>
      <c r="AA35" s="20"/>
      <c r="AB35" s="20"/>
      <c r="AC35" s="20"/>
      <c r="AD35" s="21"/>
      <c r="AE35" s="20"/>
      <c r="AF35" s="21"/>
      <c r="AG35" s="20"/>
      <c r="AH35" s="215"/>
      <c r="AI35" s="20"/>
      <c r="AJ35" s="21"/>
      <c r="AK35" s="20"/>
      <c r="AL35" s="20"/>
      <c r="AM35" s="20"/>
      <c r="AN35" s="20"/>
      <c r="AO35" s="20"/>
      <c r="AP35" s="20"/>
      <c r="AQ35" s="21"/>
      <c r="AR35" s="21"/>
      <c r="AS35" s="21"/>
      <c r="AT35" s="21"/>
      <c r="AU35" s="21"/>
      <c r="AV35" s="21"/>
      <c r="AW35" s="21"/>
      <c r="AX35" s="21"/>
      <c r="AY35" s="21"/>
      <c r="AZ35" s="21"/>
      <c r="BA35" s="21"/>
      <c r="BB35" s="20"/>
    </row>
    <row r="36" spans="1:54" ht="16.5" customHeight="1" x14ac:dyDescent="0.35">
      <c r="A36" s="9" t="s">
        <v>177</v>
      </c>
      <c r="B36" s="17">
        <f>B24*$B$15</f>
        <v>700000</v>
      </c>
      <c r="C36" s="17">
        <f t="shared" ref="C36:I36" si="42">C24*$B$15</f>
        <v>700000</v>
      </c>
      <c r="D36" s="17">
        <f t="shared" si="42"/>
        <v>700000</v>
      </c>
      <c r="E36" s="17">
        <f t="shared" si="42"/>
        <v>700000</v>
      </c>
      <c r="F36" s="17">
        <f t="shared" si="42"/>
        <v>700000</v>
      </c>
      <c r="G36" s="17">
        <f t="shared" si="42"/>
        <v>700000</v>
      </c>
      <c r="H36" s="17">
        <f t="shared" si="42"/>
        <v>700000</v>
      </c>
      <c r="I36" s="17">
        <f t="shared" si="42"/>
        <v>700000</v>
      </c>
      <c r="J36" s="17"/>
      <c r="K36" s="17"/>
      <c r="L36" s="17"/>
      <c r="M36" s="17"/>
      <c r="N36" s="17"/>
      <c r="O36" s="24">
        <f>SUM(B36:N36)</f>
        <v>5600000</v>
      </c>
      <c r="P36" s="17"/>
      <c r="Q36" s="17"/>
      <c r="R36" s="17"/>
      <c r="S36" s="17"/>
      <c r="T36" s="17"/>
      <c r="U36" s="17"/>
      <c r="V36" s="17"/>
      <c r="W36" s="17"/>
      <c r="X36" s="17"/>
      <c r="Y36" s="17"/>
      <c r="Z36" s="17"/>
      <c r="AA36" s="17"/>
      <c r="AB36" s="17"/>
      <c r="AC36" s="17"/>
      <c r="AD36" s="17"/>
      <c r="AE36" s="17"/>
      <c r="AF36" s="17"/>
      <c r="AG36" s="17"/>
      <c r="AH36" s="216"/>
      <c r="AI36" s="17"/>
      <c r="AJ36" s="17"/>
      <c r="AK36" s="17"/>
      <c r="AL36" s="17"/>
      <c r="AM36" s="17"/>
      <c r="AN36" s="17"/>
      <c r="AO36" s="17"/>
      <c r="AP36" s="17"/>
      <c r="AQ36" s="17"/>
      <c r="AR36" s="17"/>
      <c r="AS36" s="17"/>
      <c r="AT36" s="17"/>
      <c r="AU36" s="17"/>
      <c r="AV36" s="17"/>
      <c r="AW36" s="17"/>
      <c r="AX36" s="17"/>
      <c r="AY36" s="17"/>
      <c r="AZ36" s="17"/>
      <c r="BA36" s="17"/>
      <c r="BB36" s="17"/>
    </row>
    <row r="37" spans="1:54" ht="15.5" x14ac:dyDescent="0.35">
      <c r="A37" s="38" t="s">
        <v>184</v>
      </c>
      <c r="B37" s="20"/>
      <c r="C37" s="20"/>
      <c r="D37" s="21"/>
      <c r="E37" s="20"/>
      <c r="F37" s="22"/>
      <c r="G37" s="20"/>
      <c r="H37" s="22"/>
      <c r="I37" s="20"/>
      <c r="J37" s="22"/>
      <c r="K37" s="20"/>
      <c r="L37" s="20"/>
      <c r="M37" s="20"/>
      <c r="N37" s="20"/>
      <c r="O37" s="20"/>
      <c r="P37" s="20"/>
      <c r="Q37" s="21"/>
      <c r="R37" s="20"/>
      <c r="S37" s="21"/>
      <c r="T37" s="20"/>
      <c r="U37" s="21"/>
      <c r="V37" s="20"/>
      <c r="W37" s="21"/>
      <c r="X37" s="20"/>
      <c r="Y37" s="20"/>
      <c r="Z37" s="20"/>
      <c r="AA37" s="20"/>
      <c r="AB37" s="20"/>
      <c r="AC37" s="20"/>
      <c r="AD37" s="21"/>
      <c r="AE37" s="20"/>
      <c r="AF37" s="21"/>
      <c r="AG37" s="20"/>
      <c r="AH37" s="215"/>
      <c r="AI37" s="20"/>
      <c r="AJ37" s="21"/>
      <c r="AK37" s="20"/>
      <c r="AL37" s="20"/>
      <c r="AM37" s="20"/>
      <c r="AN37" s="20"/>
      <c r="AO37" s="20"/>
      <c r="AP37" s="20"/>
      <c r="AQ37" s="21"/>
      <c r="AR37" s="21"/>
      <c r="AS37" s="21"/>
      <c r="AT37" s="21"/>
      <c r="AU37" s="21"/>
      <c r="AV37" s="21"/>
      <c r="AW37" s="21"/>
      <c r="AX37" s="21"/>
      <c r="AY37" s="21"/>
      <c r="AZ37" s="21"/>
      <c r="BA37" s="21"/>
      <c r="BB37" s="20"/>
    </row>
    <row r="38" spans="1:54" ht="15.5" x14ac:dyDescent="0.35">
      <c r="A38" s="9" t="s">
        <v>20</v>
      </c>
      <c r="B38" s="17">
        <v>95000</v>
      </c>
      <c r="C38" s="17">
        <v>95000</v>
      </c>
      <c r="D38" s="17">
        <v>95000</v>
      </c>
      <c r="E38" s="17">
        <v>95000</v>
      </c>
      <c r="F38" s="17">
        <v>95000</v>
      </c>
      <c r="G38" s="17">
        <v>95000</v>
      </c>
      <c r="H38" s="17">
        <v>95000</v>
      </c>
      <c r="I38" s="17">
        <v>95000</v>
      </c>
      <c r="J38" s="17">
        <f>J22*$B$16</f>
        <v>0</v>
      </c>
      <c r="K38" s="17">
        <f>K22*$B$16</f>
        <v>0</v>
      </c>
      <c r="L38" s="17">
        <f>L22*$B$16</f>
        <v>0</v>
      </c>
      <c r="M38" s="17">
        <f>M22*$B$16</f>
        <v>0</v>
      </c>
      <c r="N38" s="17">
        <f>N22*$B$16</f>
        <v>0</v>
      </c>
      <c r="O38" s="17"/>
      <c r="P38" s="17">
        <f t="shared" ref="P38:AA38" si="43">P22*$B$16</f>
        <v>0</v>
      </c>
      <c r="Q38" s="17">
        <f t="shared" si="43"/>
        <v>0</v>
      </c>
      <c r="R38" s="17">
        <f t="shared" si="43"/>
        <v>0</v>
      </c>
      <c r="S38" s="17">
        <f t="shared" si="43"/>
        <v>0</v>
      </c>
      <c r="T38" s="17">
        <f t="shared" si="43"/>
        <v>0</v>
      </c>
      <c r="U38" s="17">
        <f t="shared" si="43"/>
        <v>0</v>
      </c>
      <c r="V38" s="17">
        <f t="shared" si="43"/>
        <v>0</v>
      </c>
      <c r="W38" s="17">
        <f t="shared" si="43"/>
        <v>0</v>
      </c>
      <c r="X38" s="17">
        <f t="shared" si="43"/>
        <v>0</v>
      </c>
      <c r="Y38" s="17">
        <f t="shared" si="43"/>
        <v>0</v>
      </c>
      <c r="Z38" s="17">
        <f t="shared" si="43"/>
        <v>0</v>
      </c>
      <c r="AA38" s="17">
        <f t="shared" si="43"/>
        <v>0</v>
      </c>
      <c r="AB38" s="17"/>
      <c r="AC38" s="17">
        <f t="shared" ref="AC38:AD38" si="44">AC22*$B$16</f>
        <v>0</v>
      </c>
      <c r="AD38" s="17">
        <f t="shared" si="44"/>
        <v>0</v>
      </c>
      <c r="AE38" s="17">
        <f t="shared" ref="AC38:AN38" si="45">AE22*$B$16</f>
        <v>0</v>
      </c>
      <c r="AF38" s="17">
        <f t="shared" si="45"/>
        <v>0</v>
      </c>
      <c r="AG38" s="17">
        <f t="shared" si="45"/>
        <v>0</v>
      </c>
      <c r="AH38" s="216">
        <f t="shared" si="45"/>
        <v>0</v>
      </c>
      <c r="AI38" s="17">
        <f t="shared" si="45"/>
        <v>0</v>
      </c>
      <c r="AJ38" s="17">
        <f t="shared" si="45"/>
        <v>0</v>
      </c>
      <c r="AK38" s="17">
        <f t="shared" si="45"/>
        <v>0</v>
      </c>
      <c r="AL38" s="17">
        <f t="shared" si="45"/>
        <v>0</v>
      </c>
      <c r="AM38" s="17">
        <f t="shared" si="45"/>
        <v>0</v>
      </c>
      <c r="AN38" s="17">
        <f t="shared" si="45"/>
        <v>0</v>
      </c>
      <c r="AO38" s="17">
        <f>SUM(AC38:AN38)</f>
        <v>0</v>
      </c>
      <c r="AP38" s="17">
        <f t="shared" ref="AP38:AQ38" si="46">AP22*$B$16</f>
        <v>0</v>
      </c>
      <c r="AQ38" s="17">
        <f t="shared" si="46"/>
        <v>0</v>
      </c>
      <c r="AR38" s="17">
        <f t="shared" ref="AR38:AZ38" si="47">AR22*$B$16</f>
        <v>0</v>
      </c>
      <c r="AS38" s="17">
        <f t="shared" si="47"/>
        <v>0</v>
      </c>
      <c r="AT38" s="17">
        <f t="shared" si="47"/>
        <v>0</v>
      </c>
      <c r="AU38" s="17">
        <f t="shared" si="47"/>
        <v>0</v>
      </c>
      <c r="AV38" s="17">
        <f t="shared" si="47"/>
        <v>0</v>
      </c>
      <c r="AW38" s="17">
        <f t="shared" si="47"/>
        <v>0</v>
      </c>
      <c r="AX38" s="17">
        <f t="shared" si="47"/>
        <v>0</v>
      </c>
      <c r="AY38" s="17">
        <f t="shared" si="47"/>
        <v>0</v>
      </c>
      <c r="AZ38" s="17">
        <f t="shared" si="47"/>
        <v>0</v>
      </c>
      <c r="BA38" s="17">
        <f t="shared" ref="BA38" si="48">BA22*$B$16</f>
        <v>0</v>
      </c>
      <c r="BB38" s="17">
        <f>SUM(AP38:BA38)</f>
        <v>0</v>
      </c>
    </row>
    <row r="39" spans="1:54" ht="15.5" x14ac:dyDescent="0.35">
      <c r="A39" s="9" t="s">
        <v>19</v>
      </c>
      <c r="B39" s="23">
        <f>B18*B27</f>
        <v>288000</v>
      </c>
      <c r="C39" s="23">
        <f t="shared" ref="C39" si="49">C23*$B$18</f>
        <v>288000</v>
      </c>
      <c r="D39" s="23">
        <f t="shared" ref="D39:N39" si="50">D23*$B$18</f>
        <v>288000</v>
      </c>
      <c r="E39" s="23">
        <f t="shared" si="50"/>
        <v>288000</v>
      </c>
      <c r="F39" s="23">
        <f t="shared" si="50"/>
        <v>288000</v>
      </c>
      <c r="G39" s="23">
        <f t="shared" si="50"/>
        <v>288000</v>
      </c>
      <c r="H39" s="23">
        <f t="shared" si="50"/>
        <v>288000</v>
      </c>
      <c r="I39" s="23">
        <f t="shared" si="50"/>
        <v>288000</v>
      </c>
      <c r="J39" s="23">
        <f t="shared" si="50"/>
        <v>0</v>
      </c>
      <c r="K39" s="23">
        <f t="shared" si="50"/>
        <v>0</v>
      </c>
      <c r="L39" s="23">
        <f t="shared" si="50"/>
        <v>0</v>
      </c>
      <c r="M39" s="23">
        <f t="shared" si="50"/>
        <v>0</v>
      </c>
      <c r="N39" s="23">
        <f t="shared" si="50"/>
        <v>0</v>
      </c>
      <c r="O39" s="17"/>
      <c r="P39" s="23">
        <f t="shared" ref="P39:AA39" si="51">P23*$B$18</f>
        <v>0</v>
      </c>
      <c r="Q39" s="23">
        <f t="shared" si="51"/>
        <v>0</v>
      </c>
      <c r="R39" s="23">
        <f t="shared" si="51"/>
        <v>0</v>
      </c>
      <c r="S39" s="23">
        <f t="shared" si="51"/>
        <v>0</v>
      </c>
      <c r="T39" s="23">
        <f t="shared" si="51"/>
        <v>0</v>
      </c>
      <c r="U39" s="23">
        <f t="shared" si="51"/>
        <v>0</v>
      </c>
      <c r="V39" s="23">
        <f t="shared" si="51"/>
        <v>0</v>
      </c>
      <c r="W39" s="23">
        <f t="shared" si="51"/>
        <v>0</v>
      </c>
      <c r="X39" s="23">
        <f t="shared" si="51"/>
        <v>0</v>
      </c>
      <c r="Y39" s="23">
        <f t="shared" si="51"/>
        <v>0</v>
      </c>
      <c r="Z39" s="23">
        <f t="shared" si="51"/>
        <v>0</v>
      </c>
      <c r="AA39" s="23">
        <f t="shared" si="51"/>
        <v>0</v>
      </c>
      <c r="AB39" s="17"/>
      <c r="AC39" s="23">
        <f t="shared" ref="AC39:AD39" si="52">AC23*$B$18</f>
        <v>0</v>
      </c>
      <c r="AD39" s="23">
        <f t="shared" si="52"/>
        <v>0</v>
      </c>
      <c r="AE39" s="23">
        <f>AE23*$B$18</f>
        <v>0</v>
      </c>
      <c r="AF39" s="23">
        <f>AF23*$B$18</f>
        <v>0</v>
      </c>
      <c r="AG39" s="23">
        <f>AG23*$B$18</f>
        <v>0</v>
      </c>
      <c r="AH39" s="217">
        <f>AH72</f>
        <v>1697594.1656842742</v>
      </c>
      <c r="AI39" s="23">
        <f t="shared" ref="AI39:AN39" si="53">AI23*$B$18</f>
        <v>0</v>
      </c>
      <c r="AJ39" s="23">
        <f t="shared" si="53"/>
        <v>0</v>
      </c>
      <c r="AK39" s="23">
        <f t="shared" si="53"/>
        <v>0</v>
      </c>
      <c r="AL39" s="23">
        <f t="shared" si="53"/>
        <v>0</v>
      </c>
      <c r="AM39" s="23">
        <f t="shared" si="53"/>
        <v>0</v>
      </c>
      <c r="AN39" s="23">
        <f t="shared" si="53"/>
        <v>0</v>
      </c>
      <c r="AO39" s="17">
        <f>SUM(AC39:AN39)</f>
        <v>1697594.1656842742</v>
      </c>
      <c r="AP39" s="23">
        <f t="shared" ref="AP39:AQ39" si="54">AP23*$B$18</f>
        <v>0</v>
      </c>
      <c r="AQ39" s="23">
        <f t="shared" si="54"/>
        <v>0</v>
      </c>
      <c r="AR39" s="23">
        <f t="shared" ref="AR39:AZ39" si="55">AR23*$B$18</f>
        <v>0</v>
      </c>
      <c r="AS39" s="23">
        <f t="shared" si="55"/>
        <v>0</v>
      </c>
      <c r="AT39" s="23">
        <f t="shared" si="55"/>
        <v>0</v>
      </c>
      <c r="AU39" s="23">
        <f t="shared" si="55"/>
        <v>0</v>
      </c>
      <c r="AV39" s="23">
        <f t="shared" si="55"/>
        <v>0</v>
      </c>
      <c r="AW39" s="23">
        <f t="shared" si="55"/>
        <v>0</v>
      </c>
      <c r="AX39" s="23">
        <f t="shared" si="55"/>
        <v>0</v>
      </c>
      <c r="AY39" s="23">
        <f t="shared" si="55"/>
        <v>0</v>
      </c>
      <c r="AZ39" s="23">
        <f t="shared" si="55"/>
        <v>0</v>
      </c>
      <c r="BA39" s="23">
        <f t="shared" ref="BA39" si="56">BA23*$B$18</f>
        <v>0</v>
      </c>
      <c r="BB39" s="17">
        <f>SUM(AP39:BA39)</f>
        <v>0</v>
      </c>
    </row>
    <row r="40" spans="1:54" ht="15.5" x14ac:dyDescent="0.35">
      <c r="A40" s="9" t="s">
        <v>21</v>
      </c>
      <c r="B40" s="17">
        <f t="shared" ref="B40:N40" si="57">$B$17*B22</f>
        <v>20000</v>
      </c>
      <c r="C40" s="17">
        <f t="shared" si="57"/>
        <v>20000</v>
      </c>
      <c r="D40" s="17">
        <f t="shared" si="57"/>
        <v>20000</v>
      </c>
      <c r="E40" s="17">
        <f t="shared" si="57"/>
        <v>20000</v>
      </c>
      <c r="F40" s="17">
        <f t="shared" si="57"/>
        <v>20000</v>
      </c>
      <c r="G40" s="17">
        <f t="shared" si="57"/>
        <v>20000</v>
      </c>
      <c r="H40" s="17">
        <f t="shared" si="57"/>
        <v>20000</v>
      </c>
      <c r="I40" s="17">
        <f t="shared" si="57"/>
        <v>20000</v>
      </c>
      <c r="J40" s="17">
        <f t="shared" si="57"/>
        <v>0</v>
      </c>
      <c r="K40" s="17">
        <f t="shared" si="57"/>
        <v>0</v>
      </c>
      <c r="L40" s="17">
        <f t="shared" si="57"/>
        <v>0</v>
      </c>
      <c r="M40" s="17">
        <f t="shared" si="57"/>
        <v>0</v>
      </c>
      <c r="N40" s="17">
        <f t="shared" si="57"/>
        <v>0</v>
      </c>
      <c r="O40" s="17"/>
      <c r="P40" s="17">
        <f t="shared" ref="P40:AA40" si="58">$B$17*P22</f>
        <v>0</v>
      </c>
      <c r="Q40" s="17">
        <f t="shared" si="58"/>
        <v>0</v>
      </c>
      <c r="R40" s="17">
        <f t="shared" si="58"/>
        <v>0</v>
      </c>
      <c r="S40" s="17">
        <f t="shared" si="58"/>
        <v>0</v>
      </c>
      <c r="T40" s="17">
        <f t="shared" si="58"/>
        <v>0</v>
      </c>
      <c r="U40" s="17">
        <f t="shared" si="58"/>
        <v>0</v>
      </c>
      <c r="V40" s="17">
        <f t="shared" si="58"/>
        <v>0</v>
      </c>
      <c r="W40" s="17">
        <f t="shared" si="58"/>
        <v>0</v>
      </c>
      <c r="X40" s="17">
        <f t="shared" si="58"/>
        <v>0</v>
      </c>
      <c r="Y40" s="17">
        <f t="shared" si="58"/>
        <v>0</v>
      </c>
      <c r="Z40" s="17">
        <f t="shared" si="58"/>
        <v>0</v>
      </c>
      <c r="AA40" s="17">
        <f t="shared" si="58"/>
        <v>0</v>
      </c>
      <c r="AB40" s="17"/>
      <c r="AC40" s="17">
        <f t="shared" ref="AC40:AD40" si="59">$B$17*AC22</f>
        <v>0</v>
      </c>
      <c r="AD40" s="17">
        <f t="shared" si="59"/>
        <v>0</v>
      </c>
      <c r="AE40" s="17">
        <f t="shared" ref="AC40:AN40" si="60">$B$17*AE22</f>
        <v>0</v>
      </c>
      <c r="AF40" s="17">
        <f t="shared" si="60"/>
        <v>0</v>
      </c>
      <c r="AG40" s="17">
        <f t="shared" si="60"/>
        <v>0</v>
      </c>
      <c r="AH40" s="216">
        <f t="shared" si="60"/>
        <v>0</v>
      </c>
      <c r="AI40" s="17">
        <f t="shared" si="60"/>
        <v>0</v>
      </c>
      <c r="AJ40" s="17">
        <f t="shared" si="60"/>
        <v>0</v>
      </c>
      <c r="AK40" s="17">
        <f t="shared" si="60"/>
        <v>0</v>
      </c>
      <c r="AL40" s="17">
        <f t="shared" si="60"/>
        <v>0</v>
      </c>
      <c r="AM40" s="17">
        <f t="shared" si="60"/>
        <v>0</v>
      </c>
      <c r="AN40" s="17">
        <f t="shared" si="60"/>
        <v>0</v>
      </c>
      <c r="AO40" s="17">
        <f>SUM(AC40:AN40)</f>
        <v>0</v>
      </c>
      <c r="AP40" s="17">
        <f t="shared" ref="AP40:AQ40" si="61">$B$17*AP22</f>
        <v>0</v>
      </c>
      <c r="AQ40" s="17">
        <f t="shared" si="61"/>
        <v>0</v>
      </c>
      <c r="AR40" s="17">
        <f t="shared" ref="AR40:AZ40" si="62">$B$17*AR22</f>
        <v>0</v>
      </c>
      <c r="AS40" s="17">
        <f t="shared" si="62"/>
        <v>0</v>
      </c>
      <c r="AT40" s="17">
        <f t="shared" si="62"/>
        <v>0</v>
      </c>
      <c r="AU40" s="17">
        <f t="shared" si="62"/>
        <v>0</v>
      </c>
      <c r="AV40" s="17">
        <f t="shared" si="62"/>
        <v>0</v>
      </c>
      <c r="AW40" s="17">
        <f t="shared" si="62"/>
        <v>0</v>
      </c>
      <c r="AX40" s="17">
        <f t="shared" si="62"/>
        <v>0</v>
      </c>
      <c r="AY40" s="17">
        <f t="shared" si="62"/>
        <v>0</v>
      </c>
      <c r="AZ40" s="17">
        <f t="shared" si="62"/>
        <v>0</v>
      </c>
      <c r="BA40" s="17">
        <f t="shared" ref="BA40" si="63">$B$17*BA22</f>
        <v>0</v>
      </c>
      <c r="BB40" s="17">
        <f>SUM(AP40:BA40)</f>
        <v>0</v>
      </c>
    </row>
    <row r="41" spans="1:54" ht="15.5" x14ac:dyDescent="0.35">
      <c r="A41" s="9" t="s">
        <v>53</v>
      </c>
      <c r="B41" s="23">
        <v>10000</v>
      </c>
      <c r="C41" s="23">
        <v>10000</v>
      </c>
      <c r="D41" s="23">
        <v>10000</v>
      </c>
      <c r="E41" s="23">
        <v>10000</v>
      </c>
      <c r="F41" s="23">
        <v>10000</v>
      </c>
      <c r="G41" s="23">
        <v>10000</v>
      </c>
      <c r="H41" s="23">
        <v>10000</v>
      </c>
      <c r="I41" s="23">
        <v>10000</v>
      </c>
      <c r="J41" s="23">
        <v>0</v>
      </c>
      <c r="K41" s="23">
        <v>0</v>
      </c>
      <c r="L41" s="23">
        <v>0</v>
      </c>
      <c r="M41" s="23">
        <v>0</v>
      </c>
      <c r="N41" s="23">
        <v>0</v>
      </c>
      <c r="O41" s="17"/>
      <c r="P41" s="23">
        <v>0</v>
      </c>
      <c r="Q41" s="23">
        <v>0</v>
      </c>
      <c r="R41" s="23">
        <v>0</v>
      </c>
      <c r="S41" s="23">
        <v>0</v>
      </c>
      <c r="T41" s="23">
        <v>0</v>
      </c>
      <c r="U41" s="23">
        <v>0</v>
      </c>
      <c r="V41" s="23">
        <v>0</v>
      </c>
      <c r="W41" s="23">
        <v>0</v>
      </c>
      <c r="X41" s="23">
        <v>0</v>
      </c>
      <c r="Y41" s="23">
        <v>0</v>
      </c>
      <c r="Z41" s="23">
        <v>0</v>
      </c>
      <c r="AA41" s="23">
        <v>0</v>
      </c>
      <c r="AB41" s="17"/>
      <c r="AC41" s="23">
        <v>0</v>
      </c>
      <c r="AD41" s="23">
        <v>0</v>
      </c>
      <c r="AE41" s="23">
        <v>0</v>
      </c>
      <c r="AF41" s="23">
        <v>0</v>
      </c>
      <c r="AG41" s="23">
        <v>0</v>
      </c>
      <c r="AH41" s="217">
        <v>0</v>
      </c>
      <c r="AI41" s="23">
        <v>0</v>
      </c>
      <c r="AJ41" s="23">
        <v>0</v>
      </c>
      <c r="AK41" s="23">
        <v>0</v>
      </c>
      <c r="AL41" s="23">
        <v>0</v>
      </c>
      <c r="AM41" s="23">
        <v>0</v>
      </c>
      <c r="AN41" s="23">
        <v>0</v>
      </c>
      <c r="AO41" s="17">
        <f>SUM(AC41:AN41)</f>
        <v>0</v>
      </c>
      <c r="AP41" s="23">
        <v>0</v>
      </c>
      <c r="AQ41" s="23">
        <v>0</v>
      </c>
      <c r="AR41" s="23">
        <v>0</v>
      </c>
      <c r="AS41" s="23">
        <v>0</v>
      </c>
      <c r="AT41" s="23">
        <v>0</v>
      </c>
      <c r="AU41" s="23">
        <v>0</v>
      </c>
      <c r="AV41" s="23">
        <v>0</v>
      </c>
      <c r="AW41" s="23">
        <v>0</v>
      </c>
      <c r="AX41" s="23">
        <v>0</v>
      </c>
      <c r="AY41" s="23">
        <v>0</v>
      </c>
      <c r="AZ41" s="23">
        <v>0</v>
      </c>
      <c r="BA41" s="23">
        <v>0</v>
      </c>
      <c r="BB41" s="17">
        <f>SUM(AP41:BA41)</f>
        <v>0</v>
      </c>
    </row>
    <row r="42" spans="1:54" ht="15.5" x14ac:dyDescent="0.35">
      <c r="A42" s="9" t="s">
        <v>96</v>
      </c>
      <c r="B42" s="124">
        <f>10000+6600</f>
        <v>16600</v>
      </c>
      <c r="C42" s="124">
        <f t="shared" ref="C42:I42" si="64">10000+6600</f>
        <v>16600</v>
      </c>
      <c r="D42" s="124">
        <f t="shared" si="64"/>
        <v>16600</v>
      </c>
      <c r="E42" s="124">
        <f t="shared" si="64"/>
        <v>16600</v>
      </c>
      <c r="F42" s="124">
        <f t="shared" si="64"/>
        <v>16600</v>
      </c>
      <c r="G42" s="124">
        <f t="shared" si="64"/>
        <v>16600</v>
      </c>
      <c r="H42" s="124">
        <f t="shared" si="64"/>
        <v>16600</v>
      </c>
      <c r="I42" s="124">
        <f t="shared" si="64"/>
        <v>16600</v>
      </c>
      <c r="J42" s="23">
        <v>0</v>
      </c>
      <c r="K42" s="23">
        <v>0</v>
      </c>
      <c r="L42" s="23">
        <v>0</v>
      </c>
      <c r="M42" s="23">
        <v>0</v>
      </c>
      <c r="N42" s="23">
        <v>0</v>
      </c>
      <c r="O42" s="17"/>
      <c r="P42" s="23">
        <v>0</v>
      </c>
      <c r="Q42" s="23">
        <v>0</v>
      </c>
      <c r="R42" s="23">
        <v>0</v>
      </c>
      <c r="S42" s="23">
        <v>0</v>
      </c>
      <c r="T42" s="23">
        <v>0</v>
      </c>
      <c r="U42" s="23">
        <v>0</v>
      </c>
      <c r="V42" s="23">
        <v>0</v>
      </c>
      <c r="W42" s="23">
        <v>0</v>
      </c>
      <c r="X42" s="23">
        <v>0</v>
      </c>
      <c r="Y42" s="23">
        <v>0</v>
      </c>
      <c r="Z42" s="23">
        <v>0</v>
      </c>
      <c r="AA42" s="23">
        <v>0</v>
      </c>
      <c r="AB42" s="17"/>
      <c r="AC42" s="23">
        <v>0</v>
      </c>
      <c r="AD42" s="23">
        <v>0</v>
      </c>
      <c r="AE42" s="23">
        <v>0</v>
      </c>
      <c r="AF42" s="23">
        <v>0</v>
      </c>
      <c r="AG42" s="23">
        <v>0</v>
      </c>
      <c r="AH42" s="217">
        <v>0</v>
      </c>
      <c r="AI42" s="23">
        <v>0</v>
      </c>
      <c r="AJ42" s="23">
        <v>0</v>
      </c>
      <c r="AK42" s="23">
        <v>0</v>
      </c>
      <c r="AL42" s="23">
        <v>0</v>
      </c>
      <c r="AM42" s="23">
        <v>0</v>
      </c>
      <c r="AN42" s="23">
        <v>0</v>
      </c>
      <c r="AO42" s="17"/>
      <c r="AP42" s="23">
        <v>0</v>
      </c>
      <c r="AQ42" s="23">
        <v>0</v>
      </c>
      <c r="AR42" s="23">
        <v>0</v>
      </c>
      <c r="AS42" s="23">
        <v>0</v>
      </c>
      <c r="AT42" s="23">
        <v>0</v>
      </c>
      <c r="AU42" s="23">
        <v>0</v>
      </c>
      <c r="AV42" s="23">
        <v>0</v>
      </c>
      <c r="AW42" s="23">
        <v>0</v>
      </c>
      <c r="AX42" s="23">
        <v>0</v>
      </c>
      <c r="AY42" s="23">
        <v>0</v>
      </c>
      <c r="AZ42" s="23">
        <v>0</v>
      </c>
      <c r="BA42" s="23">
        <v>0</v>
      </c>
      <c r="BB42" s="17"/>
    </row>
    <row r="43" spans="1:54" ht="15.5" x14ac:dyDescent="0.35">
      <c r="A43" s="39" t="s">
        <v>57</v>
      </c>
      <c r="B43" s="24">
        <f>SUM(B38:B42)</f>
        <v>429600</v>
      </c>
      <c r="C43" s="24">
        <f t="shared" ref="C43:I43" si="65">SUM(C38:C42)</f>
        <v>429600</v>
      </c>
      <c r="D43" s="24">
        <f t="shared" si="65"/>
        <v>429600</v>
      </c>
      <c r="E43" s="24">
        <f t="shared" si="65"/>
        <v>429600</v>
      </c>
      <c r="F43" s="24">
        <f t="shared" si="65"/>
        <v>429600</v>
      </c>
      <c r="G43" s="24">
        <f t="shared" si="65"/>
        <v>429600</v>
      </c>
      <c r="H43" s="24">
        <f t="shared" si="65"/>
        <v>429600</v>
      </c>
      <c r="I43" s="24">
        <f t="shared" si="65"/>
        <v>429600</v>
      </c>
      <c r="J43" s="24">
        <f>SUM(J38:J41)</f>
        <v>0</v>
      </c>
      <c r="K43" s="24">
        <f>SUM(K38:K41)</f>
        <v>0</v>
      </c>
      <c r="L43" s="24">
        <f>SUM(L38:L41)</f>
        <v>0</v>
      </c>
      <c r="M43" s="24">
        <f>SUM(M38:M41)</f>
        <v>0</v>
      </c>
      <c r="N43" s="24">
        <f>SUM(N38:N41)</f>
        <v>0</v>
      </c>
      <c r="O43" s="24">
        <f>SUM(B43:N43)</f>
        <v>3436800</v>
      </c>
      <c r="P43" s="24">
        <f>SUM(P38:P42)</f>
        <v>0</v>
      </c>
      <c r="Q43" s="24">
        <f>SUM(Q38:Q42)</f>
        <v>0</v>
      </c>
      <c r="R43" s="24">
        <f>SUM(R38:R41)</f>
        <v>0</v>
      </c>
      <c r="S43" s="24">
        <f>SUM(S38:S42)</f>
        <v>0</v>
      </c>
      <c r="T43" s="24">
        <f t="shared" ref="T43:AA43" si="66">SUM(T38:T41)</f>
        <v>0</v>
      </c>
      <c r="U43" s="24">
        <f t="shared" si="66"/>
        <v>0</v>
      </c>
      <c r="V43" s="24">
        <f t="shared" si="66"/>
        <v>0</v>
      </c>
      <c r="W43" s="24">
        <f t="shared" si="66"/>
        <v>0</v>
      </c>
      <c r="X43" s="24">
        <f t="shared" si="66"/>
        <v>0</v>
      </c>
      <c r="Y43" s="24">
        <f t="shared" si="66"/>
        <v>0</v>
      </c>
      <c r="Z43" s="24">
        <f t="shared" si="66"/>
        <v>0</v>
      </c>
      <c r="AA43" s="24">
        <f t="shared" si="66"/>
        <v>0</v>
      </c>
      <c r="AB43" s="24"/>
      <c r="AC43" s="24">
        <f>SUM(AC38:AC42)</f>
        <v>0</v>
      </c>
      <c r="AD43" s="24">
        <f>SUM(AD38:AD42)</f>
        <v>0</v>
      </c>
      <c r="AE43" s="24">
        <f>SUM(AE38:AE41)</f>
        <v>0</v>
      </c>
      <c r="AF43" s="24">
        <f>SUM(AF38:AF42)</f>
        <v>0</v>
      </c>
      <c r="AG43" s="24">
        <f t="shared" ref="AG43:AO43" si="67">SUM(AG38:AG41)</f>
        <v>0</v>
      </c>
      <c r="AH43" s="218">
        <f t="shared" si="67"/>
        <v>1697594.1656842742</v>
      </c>
      <c r="AI43" s="24">
        <f t="shared" si="67"/>
        <v>0</v>
      </c>
      <c r="AJ43" s="24">
        <f t="shared" si="67"/>
        <v>0</v>
      </c>
      <c r="AK43" s="24">
        <f t="shared" si="67"/>
        <v>0</v>
      </c>
      <c r="AL43" s="24">
        <f t="shared" si="67"/>
        <v>0</v>
      </c>
      <c r="AM43" s="24">
        <f t="shared" si="67"/>
        <v>0</v>
      </c>
      <c r="AN43" s="24">
        <f t="shared" si="67"/>
        <v>0</v>
      </c>
      <c r="AO43" s="24">
        <f t="shared" si="67"/>
        <v>1697594.1656842742</v>
      </c>
      <c r="AP43" s="24">
        <f>SUM(AP38:AP42)</f>
        <v>0</v>
      </c>
      <c r="AQ43" s="24">
        <f>SUM(AQ38:AQ42)</f>
        <v>0</v>
      </c>
      <c r="AR43" s="24">
        <f t="shared" ref="AR43:BA43" si="68">SUM(AR38:AR42)</f>
        <v>0</v>
      </c>
      <c r="AS43" s="24">
        <f t="shared" si="68"/>
        <v>0</v>
      </c>
      <c r="AT43" s="24">
        <f t="shared" si="68"/>
        <v>0</v>
      </c>
      <c r="AU43" s="24">
        <f t="shared" si="68"/>
        <v>0</v>
      </c>
      <c r="AV43" s="24">
        <f t="shared" si="68"/>
        <v>0</v>
      </c>
      <c r="AW43" s="24">
        <f t="shared" si="68"/>
        <v>0</v>
      </c>
      <c r="AX43" s="24">
        <f t="shared" si="68"/>
        <v>0</v>
      </c>
      <c r="AY43" s="24">
        <f t="shared" si="68"/>
        <v>0</v>
      </c>
      <c r="AZ43" s="24">
        <f t="shared" si="68"/>
        <v>0</v>
      </c>
      <c r="BA43" s="24">
        <f t="shared" si="68"/>
        <v>0</v>
      </c>
      <c r="BB43" s="24">
        <f t="shared" ref="BB43" si="69">SUM(BB38:BB41)</f>
        <v>0</v>
      </c>
    </row>
    <row r="44" spans="1:54" ht="16" thickBot="1" x14ac:dyDescent="0.4">
      <c r="A44" s="10"/>
      <c r="B44" s="17"/>
      <c r="C44" s="17"/>
      <c r="D44" s="16"/>
      <c r="E44" s="17"/>
      <c r="F44" s="8"/>
      <c r="G44" s="17"/>
      <c r="H44" s="8"/>
      <c r="I44" s="17"/>
      <c r="J44" s="8"/>
      <c r="K44" s="17"/>
      <c r="L44" s="8"/>
      <c r="M44" s="8"/>
      <c r="N44" s="8"/>
      <c r="O44" s="8"/>
      <c r="P44" s="17"/>
      <c r="Q44" s="16"/>
      <c r="R44" s="17"/>
      <c r="S44" s="16"/>
      <c r="T44" s="17"/>
      <c r="U44" s="16"/>
      <c r="V44" s="17"/>
      <c r="W44" s="16"/>
      <c r="X44" s="17"/>
      <c r="Y44" s="16"/>
      <c r="Z44" s="16"/>
      <c r="AA44" s="16"/>
      <c r="AB44" s="16"/>
      <c r="AC44" s="17"/>
      <c r="AD44" s="16"/>
      <c r="AE44" s="17"/>
      <c r="AF44" s="16"/>
      <c r="AG44" s="17"/>
      <c r="AH44" s="219"/>
      <c r="AI44" s="17"/>
      <c r="AJ44" s="16"/>
      <c r="AK44" s="17"/>
      <c r="AL44" s="16"/>
      <c r="AM44" s="16"/>
      <c r="AN44" s="16"/>
      <c r="AO44" s="16"/>
      <c r="AP44" s="17"/>
      <c r="AQ44" s="16"/>
      <c r="AR44" s="16"/>
      <c r="AS44" s="16"/>
      <c r="AT44" s="16"/>
      <c r="AU44" s="16"/>
      <c r="AV44" s="16"/>
      <c r="AW44" s="16"/>
      <c r="AX44" s="16"/>
      <c r="AY44" s="16"/>
      <c r="AZ44" s="16"/>
      <c r="BA44" s="16"/>
      <c r="BB44" s="16"/>
    </row>
    <row r="45" spans="1:54" ht="16" thickBot="1" x14ac:dyDescent="0.4">
      <c r="A45" s="62" t="s">
        <v>58</v>
      </c>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220"/>
      <c r="AI45" s="63"/>
      <c r="AJ45" s="63"/>
      <c r="AK45" s="63"/>
      <c r="AL45" s="63"/>
      <c r="AM45" s="63"/>
      <c r="AN45" s="63"/>
      <c r="AO45" s="63"/>
      <c r="AP45" s="63"/>
      <c r="AQ45" s="63"/>
      <c r="AR45" s="63"/>
      <c r="AS45" s="63"/>
      <c r="AT45" s="63"/>
      <c r="AU45" s="63"/>
      <c r="AV45" s="63"/>
      <c r="AW45" s="63"/>
      <c r="AX45" s="63"/>
      <c r="AY45" s="63"/>
      <c r="AZ45" s="63"/>
      <c r="BA45" s="63"/>
      <c r="BB45" s="63"/>
    </row>
    <row r="46" spans="1:54" ht="15.5" x14ac:dyDescent="0.35">
      <c r="A46" s="67" t="s">
        <v>59</v>
      </c>
      <c r="B46" s="64">
        <f t="shared" ref="B46:N46" si="70">B26*$B$19</f>
        <v>875</v>
      </c>
      <c r="C46" s="64">
        <f t="shared" si="70"/>
        <v>1750</v>
      </c>
      <c r="D46" s="64">
        <f t="shared" si="70"/>
        <v>2625</v>
      </c>
      <c r="E46" s="64">
        <f t="shared" si="70"/>
        <v>3500</v>
      </c>
      <c r="F46" s="64">
        <f t="shared" si="70"/>
        <v>4375</v>
      </c>
      <c r="G46" s="64">
        <f t="shared" si="70"/>
        <v>5250</v>
      </c>
      <c r="H46" s="64">
        <f t="shared" si="70"/>
        <v>6125</v>
      </c>
      <c r="I46" s="64">
        <f t="shared" si="70"/>
        <v>7000</v>
      </c>
      <c r="J46" s="64">
        <f t="shared" si="70"/>
        <v>7000</v>
      </c>
      <c r="K46" s="64">
        <f t="shared" si="70"/>
        <v>7000</v>
      </c>
      <c r="L46" s="64">
        <f t="shared" si="70"/>
        <v>7000</v>
      </c>
      <c r="M46" s="64">
        <f t="shared" si="70"/>
        <v>7000</v>
      </c>
      <c r="N46" s="64">
        <f t="shared" si="70"/>
        <v>7000</v>
      </c>
      <c r="O46" s="64"/>
      <c r="P46" s="64">
        <f t="shared" ref="P46:AA46" si="71">P26*$B$19</f>
        <v>7000</v>
      </c>
      <c r="Q46" s="64">
        <f t="shared" si="71"/>
        <v>7000</v>
      </c>
      <c r="R46" s="64">
        <f t="shared" si="71"/>
        <v>7000</v>
      </c>
      <c r="S46" s="64">
        <f t="shared" si="71"/>
        <v>7000</v>
      </c>
      <c r="T46" s="64">
        <f t="shared" si="71"/>
        <v>7000</v>
      </c>
      <c r="U46" s="64">
        <f t="shared" si="71"/>
        <v>7000</v>
      </c>
      <c r="V46" s="64">
        <f t="shared" si="71"/>
        <v>7000</v>
      </c>
      <c r="W46" s="64">
        <f t="shared" si="71"/>
        <v>7000</v>
      </c>
      <c r="X46" s="64">
        <f t="shared" si="71"/>
        <v>7000</v>
      </c>
      <c r="Y46" s="64">
        <f t="shared" si="71"/>
        <v>7000</v>
      </c>
      <c r="Z46" s="64">
        <f t="shared" si="71"/>
        <v>7000</v>
      </c>
      <c r="AA46" s="64">
        <f t="shared" si="71"/>
        <v>7000</v>
      </c>
      <c r="AB46" s="64"/>
      <c r="AC46" s="64">
        <f t="shared" ref="AC46:AD46" si="72">AC26*$B$19</f>
        <v>7000</v>
      </c>
      <c r="AD46" s="64">
        <f t="shared" si="72"/>
        <v>7000</v>
      </c>
      <c r="AE46" s="64">
        <f t="shared" ref="AC46:AN46" si="73">AE26*$B$19</f>
        <v>7000</v>
      </c>
      <c r="AF46" s="64">
        <f t="shared" si="73"/>
        <v>7000</v>
      </c>
      <c r="AG46" s="64">
        <f t="shared" si="73"/>
        <v>7000</v>
      </c>
      <c r="AH46" s="221">
        <f t="shared" si="73"/>
        <v>7000</v>
      </c>
      <c r="AI46" s="64">
        <f t="shared" si="73"/>
        <v>7000</v>
      </c>
      <c r="AJ46" s="64">
        <f t="shared" si="73"/>
        <v>7000</v>
      </c>
      <c r="AK46" s="64">
        <f t="shared" si="73"/>
        <v>7000</v>
      </c>
      <c r="AL46" s="64">
        <f t="shared" si="73"/>
        <v>7000</v>
      </c>
      <c r="AM46" s="64">
        <f t="shared" si="73"/>
        <v>7000</v>
      </c>
      <c r="AN46" s="64">
        <f t="shared" si="73"/>
        <v>7000</v>
      </c>
      <c r="AO46" s="64"/>
      <c r="AP46" s="64">
        <f t="shared" ref="AP46:AQ46" si="74">AP26*$B$19</f>
        <v>7000</v>
      </c>
      <c r="AQ46" s="64">
        <f t="shared" si="74"/>
        <v>7000</v>
      </c>
      <c r="AR46" s="64">
        <f t="shared" ref="AR46:AZ46" si="75">AR26*$B$19</f>
        <v>7000</v>
      </c>
      <c r="AS46" s="64">
        <f t="shared" si="75"/>
        <v>7000</v>
      </c>
      <c r="AT46" s="64">
        <f t="shared" si="75"/>
        <v>7000</v>
      </c>
      <c r="AU46" s="64">
        <f t="shared" si="75"/>
        <v>7000</v>
      </c>
      <c r="AV46" s="64">
        <f t="shared" si="75"/>
        <v>7000</v>
      </c>
      <c r="AW46" s="64">
        <f t="shared" si="75"/>
        <v>7000</v>
      </c>
      <c r="AX46" s="64">
        <f t="shared" si="75"/>
        <v>7000</v>
      </c>
      <c r="AY46" s="64">
        <f t="shared" si="75"/>
        <v>7000</v>
      </c>
      <c r="AZ46" s="64">
        <f t="shared" si="75"/>
        <v>7000</v>
      </c>
      <c r="BA46" s="64">
        <f t="shared" ref="BA46" si="76">BA26*$B$19</f>
        <v>7000</v>
      </c>
      <c r="BB46" s="64"/>
    </row>
    <row r="47" spans="1:54" ht="16" thickBot="1" x14ac:dyDescent="0.4">
      <c r="A47" s="68" t="s">
        <v>60</v>
      </c>
      <c r="B47" s="168">
        <f t="shared" ref="B47:C47" si="77">SUM(B46:B46)</f>
        <v>875</v>
      </c>
      <c r="C47" s="69">
        <f t="shared" si="77"/>
        <v>1750</v>
      </c>
      <c r="D47" s="69">
        <f t="shared" ref="D47:N47" si="78">SUM(D46:D46)</f>
        <v>2625</v>
      </c>
      <c r="E47" s="60">
        <f t="shared" si="78"/>
        <v>3500</v>
      </c>
      <c r="F47" s="69">
        <f t="shared" si="78"/>
        <v>4375</v>
      </c>
      <c r="G47" s="60">
        <f t="shared" si="78"/>
        <v>5250</v>
      </c>
      <c r="H47" s="69">
        <f t="shared" si="78"/>
        <v>6125</v>
      </c>
      <c r="I47" s="60">
        <f t="shared" si="78"/>
        <v>7000</v>
      </c>
      <c r="J47" s="69">
        <f t="shared" si="78"/>
        <v>7000</v>
      </c>
      <c r="K47" s="60">
        <f t="shared" si="78"/>
        <v>7000</v>
      </c>
      <c r="L47" s="69">
        <f t="shared" si="78"/>
        <v>7000</v>
      </c>
      <c r="M47" s="69">
        <f t="shared" si="78"/>
        <v>7000</v>
      </c>
      <c r="N47" s="70">
        <f t="shared" si="78"/>
        <v>7000</v>
      </c>
      <c r="O47" s="169"/>
      <c r="P47" s="69">
        <f t="shared" ref="P47:AA47" si="79">SUM(P46:P46)</f>
        <v>7000</v>
      </c>
      <c r="Q47" s="69">
        <f t="shared" si="79"/>
        <v>7000</v>
      </c>
      <c r="R47" s="60">
        <f t="shared" si="79"/>
        <v>7000</v>
      </c>
      <c r="S47" s="69">
        <f t="shared" si="79"/>
        <v>7000</v>
      </c>
      <c r="T47" s="60">
        <f t="shared" si="79"/>
        <v>7000</v>
      </c>
      <c r="U47" s="69">
        <f t="shared" si="79"/>
        <v>7000</v>
      </c>
      <c r="V47" s="60">
        <f t="shared" si="79"/>
        <v>7000</v>
      </c>
      <c r="W47" s="69">
        <f t="shared" si="79"/>
        <v>7000</v>
      </c>
      <c r="X47" s="60">
        <f t="shared" si="79"/>
        <v>7000</v>
      </c>
      <c r="Y47" s="69">
        <f t="shared" si="79"/>
        <v>7000</v>
      </c>
      <c r="Z47" s="69">
        <f t="shared" si="79"/>
        <v>7000</v>
      </c>
      <c r="AA47" s="70">
        <f t="shared" si="79"/>
        <v>7000</v>
      </c>
      <c r="AB47" s="169"/>
      <c r="AC47" s="69">
        <f t="shared" ref="AC47:AD47" si="80">SUM(AC46:AC46)</f>
        <v>7000</v>
      </c>
      <c r="AD47" s="69">
        <f t="shared" si="80"/>
        <v>7000</v>
      </c>
      <c r="AE47" s="60">
        <f t="shared" ref="AC47:AN47" si="81">SUM(AE46:AE46)</f>
        <v>7000</v>
      </c>
      <c r="AF47" s="69">
        <f t="shared" si="81"/>
        <v>7000</v>
      </c>
      <c r="AG47" s="60">
        <f t="shared" si="81"/>
        <v>7000</v>
      </c>
      <c r="AH47" s="222">
        <f t="shared" si="81"/>
        <v>7000</v>
      </c>
      <c r="AI47" s="60">
        <f t="shared" si="81"/>
        <v>7000</v>
      </c>
      <c r="AJ47" s="69">
        <f t="shared" si="81"/>
        <v>7000</v>
      </c>
      <c r="AK47" s="60">
        <f t="shared" si="81"/>
        <v>7000</v>
      </c>
      <c r="AL47" s="69">
        <f t="shared" si="81"/>
        <v>7000</v>
      </c>
      <c r="AM47" s="69">
        <f t="shared" si="81"/>
        <v>7000</v>
      </c>
      <c r="AN47" s="70">
        <f t="shared" si="81"/>
        <v>7000</v>
      </c>
      <c r="AO47" s="169"/>
      <c r="AP47" s="69">
        <f t="shared" ref="AP47:AQ47" si="82">SUM(AP46:AP46)</f>
        <v>7000</v>
      </c>
      <c r="AQ47" s="69">
        <f t="shared" si="82"/>
        <v>7000</v>
      </c>
      <c r="AR47" s="69">
        <f t="shared" ref="AR47:AZ47" si="83">SUM(AR46:AR46)</f>
        <v>7000</v>
      </c>
      <c r="AS47" s="69">
        <f t="shared" si="83"/>
        <v>7000</v>
      </c>
      <c r="AT47" s="69">
        <f t="shared" si="83"/>
        <v>7000</v>
      </c>
      <c r="AU47" s="69">
        <f t="shared" si="83"/>
        <v>7000</v>
      </c>
      <c r="AV47" s="69">
        <f t="shared" si="83"/>
        <v>7000</v>
      </c>
      <c r="AW47" s="69">
        <f t="shared" si="83"/>
        <v>7000</v>
      </c>
      <c r="AX47" s="69">
        <f t="shared" si="83"/>
        <v>7000</v>
      </c>
      <c r="AY47" s="69">
        <f t="shared" si="83"/>
        <v>7000</v>
      </c>
      <c r="AZ47" s="69">
        <f t="shared" si="83"/>
        <v>7000</v>
      </c>
      <c r="BA47" s="69">
        <f t="shared" ref="BA47" si="84">SUM(BA46:BA46)</f>
        <v>7000</v>
      </c>
      <c r="BB47" s="169"/>
    </row>
    <row r="48" spans="1:54" ht="16" thickBot="1" x14ac:dyDescent="0.4">
      <c r="A48" s="46" t="s">
        <v>46</v>
      </c>
      <c r="B48" s="32" t="s">
        <v>41</v>
      </c>
      <c r="C48" s="32" t="s">
        <v>42</v>
      </c>
      <c r="D48" s="32" t="s">
        <v>43</v>
      </c>
      <c r="E48" s="32" t="s">
        <v>44</v>
      </c>
      <c r="F48" s="32" t="s">
        <v>76</v>
      </c>
      <c r="G48" s="32" t="s">
        <v>77</v>
      </c>
      <c r="H48" s="32" t="s">
        <v>78</v>
      </c>
      <c r="I48" s="32" t="s">
        <v>79</v>
      </c>
      <c r="J48" s="32" t="s">
        <v>80</v>
      </c>
      <c r="K48" s="32" t="s">
        <v>81</v>
      </c>
      <c r="L48" s="32" t="s">
        <v>82</v>
      </c>
      <c r="M48" s="32" t="s">
        <v>83</v>
      </c>
      <c r="N48" s="32" t="s">
        <v>84</v>
      </c>
      <c r="O48" s="32" t="s">
        <v>97</v>
      </c>
      <c r="P48" s="32" t="s">
        <v>42</v>
      </c>
      <c r="Q48" s="32" t="s">
        <v>43</v>
      </c>
      <c r="R48" s="32" t="s">
        <v>44</v>
      </c>
      <c r="S48" s="32" t="s">
        <v>76</v>
      </c>
      <c r="T48" s="32" t="s">
        <v>77</v>
      </c>
      <c r="U48" s="32" t="s">
        <v>78</v>
      </c>
      <c r="V48" s="32" t="s">
        <v>79</v>
      </c>
      <c r="W48" s="32" t="s">
        <v>80</v>
      </c>
      <c r="X48" s="32" t="s">
        <v>81</v>
      </c>
      <c r="Y48" s="32" t="s">
        <v>82</v>
      </c>
      <c r="Z48" s="32" t="s">
        <v>83</v>
      </c>
      <c r="AA48" s="32" t="s">
        <v>84</v>
      </c>
      <c r="AB48" s="32" t="s">
        <v>97</v>
      </c>
      <c r="AC48" s="32" t="s">
        <v>42</v>
      </c>
      <c r="AD48" s="32" t="s">
        <v>43</v>
      </c>
      <c r="AE48" s="32" t="s">
        <v>44</v>
      </c>
      <c r="AF48" s="32" t="s">
        <v>76</v>
      </c>
      <c r="AG48" s="32" t="s">
        <v>77</v>
      </c>
      <c r="AH48" s="232" t="s">
        <v>78</v>
      </c>
      <c r="AI48" s="32" t="s">
        <v>79</v>
      </c>
      <c r="AJ48" s="32" t="s">
        <v>80</v>
      </c>
      <c r="AK48" s="32" t="s">
        <v>81</v>
      </c>
      <c r="AL48" s="32" t="s">
        <v>82</v>
      </c>
      <c r="AM48" s="32" t="s">
        <v>83</v>
      </c>
      <c r="AN48" s="32" t="s">
        <v>84</v>
      </c>
      <c r="AO48" s="32" t="s">
        <v>97</v>
      </c>
      <c r="AP48" s="32" t="s">
        <v>42</v>
      </c>
      <c r="AQ48" s="32" t="s">
        <v>43</v>
      </c>
      <c r="AR48" s="32" t="s">
        <v>44</v>
      </c>
      <c r="AS48" s="32" t="s">
        <v>76</v>
      </c>
      <c r="AT48" s="32" t="s">
        <v>77</v>
      </c>
      <c r="AU48" s="32" t="s">
        <v>78</v>
      </c>
      <c r="AV48" s="32" t="s">
        <v>79</v>
      </c>
      <c r="AW48" s="32" t="s">
        <v>80</v>
      </c>
      <c r="AX48" s="32" t="s">
        <v>81</v>
      </c>
      <c r="AY48" s="32" t="s">
        <v>82</v>
      </c>
      <c r="AZ48" s="32" t="s">
        <v>83</v>
      </c>
      <c r="BA48" s="32" t="s">
        <v>83</v>
      </c>
      <c r="BB48" s="32" t="s">
        <v>97</v>
      </c>
    </row>
    <row r="49" spans="1:54" ht="15.5" x14ac:dyDescent="0.35">
      <c r="A49" s="185" t="s">
        <v>98</v>
      </c>
      <c r="B49" s="186">
        <v>120</v>
      </c>
      <c r="C49" s="187">
        <f t="shared" ref="C49:N49" si="85">B49*(1+$B$10)</f>
        <v>123.11458015902556</v>
      </c>
      <c r="D49" s="187">
        <f t="shared" si="85"/>
        <v>126.30999873110942</v>
      </c>
      <c r="E49" s="187">
        <f t="shared" si="85"/>
        <v>129.58835386389654</v>
      </c>
      <c r="F49" s="187">
        <f t="shared" si="85"/>
        <v>132.95179816210717</v>
      </c>
      <c r="G49" s="187">
        <f t="shared" si="85"/>
        <v>136.40254010096109</v>
      </c>
      <c r="H49" s="187">
        <f t="shared" si="85"/>
        <v>139.94284547628726</v>
      </c>
      <c r="I49" s="187">
        <f t="shared" si="85"/>
        <v>143.57503889227078</v>
      </c>
      <c r="J49" s="187">
        <f t="shared" si="85"/>
        <v>147.30150528781402</v>
      </c>
      <c r="K49" s="187">
        <f t="shared" si="85"/>
        <v>151.12469150251422</v>
      </c>
      <c r="L49" s="187">
        <f t="shared" si="85"/>
        <v>155.0471078832858</v>
      </c>
      <c r="M49" s="187">
        <f t="shared" si="85"/>
        <v>159.07132993268229</v>
      </c>
      <c r="N49" s="187">
        <f t="shared" si="85"/>
        <v>163.20000000000013</v>
      </c>
      <c r="O49" s="186"/>
      <c r="P49" s="187">
        <f>N49*(1+$B$10)</f>
        <v>167.43582901627488</v>
      </c>
      <c r="Q49" s="187">
        <f t="shared" ref="Q49:AA49" si="86">P49*(1+$B$10)</f>
        <v>171.78159827430892</v>
      </c>
      <c r="R49" s="187">
        <f t="shared" si="86"/>
        <v>176.24016125489942</v>
      </c>
      <c r="S49" s="187">
        <f t="shared" si="86"/>
        <v>180.81444550046587</v>
      </c>
      <c r="T49" s="187">
        <f t="shared" si="86"/>
        <v>185.50745453730718</v>
      </c>
      <c r="U49" s="187">
        <f t="shared" si="86"/>
        <v>190.32226984775079</v>
      </c>
      <c r="V49" s="187">
        <f t="shared" si="86"/>
        <v>195.2620528934884</v>
      </c>
      <c r="W49" s="187">
        <f t="shared" si="86"/>
        <v>200.33004719142721</v>
      </c>
      <c r="X49" s="187">
        <f t="shared" si="86"/>
        <v>205.52958044341949</v>
      </c>
      <c r="Y49" s="187">
        <f t="shared" si="86"/>
        <v>210.86406672126884</v>
      </c>
      <c r="Z49" s="187">
        <f>Y49*(1+$B$10)</f>
        <v>216.33700870844805</v>
      </c>
      <c r="AA49" s="187">
        <f t="shared" si="86"/>
        <v>221.95200000000031</v>
      </c>
      <c r="AB49" s="186"/>
      <c r="AC49" s="187">
        <f>AA49*(1+$B$10)</f>
        <v>227.71272746213398</v>
      </c>
      <c r="AD49" s="187">
        <f t="shared" ref="AD49" si="87">AC49*(1+$B$10)</f>
        <v>233.62297365306028</v>
      </c>
      <c r="AE49" s="187">
        <f t="shared" ref="AD49:AN49" si="88">AD49*(1+$B$10)</f>
        <v>239.68661930666337</v>
      </c>
      <c r="AF49" s="187">
        <f t="shared" si="88"/>
        <v>245.90764588063377</v>
      </c>
      <c r="AG49" s="187">
        <f t="shared" si="88"/>
        <v>252.29013817073798</v>
      </c>
      <c r="AH49" s="223">
        <f t="shared" si="88"/>
        <v>258.83828699294128</v>
      </c>
      <c r="AI49" s="187">
        <f t="shared" si="88"/>
        <v>265.5563919351444</v>
      </c>
      <c r="AJ49" s="187">
        <f t="shared" si="88"/>
        <v>272.44886418034122</v>
      </c>
      <c r="AK49" s="187">
        <f t="shared" si="88"/>
        <v>279.52022940305073</v>
      </c>
      <c r="AL49" s="187">
        <f t="shared" si="88"/>
        <v>286.77513074092587</v>
      </c>
      <c r="AM49" s="187">
        <f t="shared" si="88"/>
        <v>294.21833184348958</v>
      </c>
      <c r="AN49" s="187">
        <f t="shared" si="88"/>
        <v>301.85472000000067</v>
      </c>
      <c r="AO49" s="186"/>
      <c r="AP49" s="187">
        <f>AN49*(1+$B$10)</f>
        <v>309.68930934850249</v>
      </c>
      <c r="AQ49" s="187">
        <f t="shared" ref="AQ49" si="89">AP49*(1+$B$10)</f>
        <v>317.72724416816226</v>
      </c>
      <c r="AR49" s="187">
        <f t="shared" ref="AR49" si="90">AQ49*(1+$B$10)</f>
        <v>325.97380225706246</v>
      </c>
      <c r="AS49" s="187">
        <f t="shared" ref="AS49" si="91">AR49*(1+$B$10)</f>
        <v>334.43439839766216</v>
      </c>
      <c r="AT49" s="187">
        <f t="shared" ref="AT49" si="92">AS49*(1+$B$10)</f>
        <v>343.11458791220389</v>
      </c>
      <c r="AU49" s="187">
        <f t="shared" ref="AU49" si="93">AT49*(1+$B$10)</f>
        <v>352.0200703104004</v>
      </c>
      <c r="AV49" s="187">
        <f t="shared" ref="AV49" si="94">AU49*(1+$B$10)</f>
        <v>361.15669303179669</v>
      </c>
      <c r="AW49" s="187">
        <f t="shared" ref="AW49" si="95">AV49*(1+$B$10)</f>
        <v>370.53045528526434</v>
      </c>
      <c r="AX49" s="187">
        <f t="shared" ref="AX49" si="96">AW49*(1+$B$10)</f>
        <v>380.14751198814923</v>
      </c>
      <c r="AY49" s="187">
        <f t="shared" ref="AY49" si="97">AX49*(1+$B$10)</f>
        <v>390.01417780765939</v>
      </c>
      <c r="AZ49" s="187">
        <f t="shared" ref="AZ49:BA49" si="98">AY49*(1+$B$10)</f>
        <v>400.13693130714609</v>
      </c>
      <c r="BA49" s="187">
        <f t="shared" si="98"/>
        <v>410.52241920000114</v>
      </c>
      <c r="BB49" s="186"/>
    </row>
    <row r="50" spans="1:54" s="138" customFormat="1" ht="15.5" x14ac:dyDescent="0.35">
      <c r="A50" s="190" t="s">
        <v>99</v>
      </c>
      <c r="B50" s="191">
        <f>A6</f>
        <v>80000</v>
      </c>
      <c r="C50" s="192">
        <f t="shared" ref="C50:N50" si="99">B50*(1+$B$9)</f>
        <v>81501.541209720483</v>
      </c>
      <c r="D50" s="192">
        <f>C50*(1+$B$9)</f>
        <v>83031.265244497088</v>
      </c>
      <c r="E50" s="192">
        <f t="shared" si="99"/>
        <v>84589.701075245146</v>
      </c>
      <c r="F50" s="192">
        <f t="shared" si="99"/>
        <v>86177.387601275375</v>
      </c>
      <c r="G50" s="192">
        <f t="shared" si="99"/>
        <v>87794.87383664251</v>
      </c>
      <c r="H50" s="192">
        <f t="shared" si="99"/>
        <v>89442.719099991635</v>
      </c>
      <c r="I50" s="192">
        <f t="shared" si="99"/>
        <v>91121.493207967782</v>
      </c>
      <c r="J50" s="192">
        <f t="shared" si="99"/>
        <v>92831.776672255655</v>
      </c>
      <c r="K50" s="192">
        <f t="shared" si="99"/>
        <v>94574.160900317671</v>
      </c>
      <c r="L50" s="192">
        <f t="shared" si="99"/>
        <v>96349.248399899705</v>
      </c>
      <c r="M50" s="192">
        <f t="shared" si="99"/>
        <v>98157.652987375273</v>
      </c>
      <c r="N50" s="192">
        <f t="shared" si="99"/>
        <v>100000.00000000012</v>
      </c>
      <c r="O50" s="186"/>
      <c r="P50" s="192">
        <f>N50*(1+$B$9)</f>
        <v>101876.92651215073</v>
      </c>
      <c r="Q50" s="192">
        <f t="shared" ref="Q50:AA50" si="100">P50*(1+$B$9)</f>
        <v>103789.08155562148</v>
      </c>
      <c r="R50" s="192">
        <f t="shared" si="100"/>
        <v>105737.12634405657</v>
      </c>
      <c r="S50" s="192">
        <f t="shared" si="100"/>
        <v>107721.73450159436</v>
      </c>
      <c r="T50" s="192">
        <f t="shared" si="100"/>
        <v>109743.59229580328</v>
      </c>
      <c r="U50" s="192">
        <f t="shared" si="100"/>
        <v>111803.39887498968</v>
      </c>
      <c r="V50" s="192">
        <f t="shared" si="100"/>
        <v>113901.86650995986</v>
      </c>
      <c r="W50" s="192">
        <f t="shared" si="100"/>
        <v>116039.7208403197</v>
      </c>
      <c r="X50" s="192">
        <f t="shared" si="100"/>
        <v>118217.70112539722</v>
      </c>
      <c r="Y50" s="192">
        <f t="shared" si="100"/>
        <v>120436.56049987477</v>
      </c>
      <c r="Z50" s="192">
        <f>Y50*(1+$B$9)</f>
        <v>122697.06623421924</v>
      </c>
      <c r="AA50" s="192">
        <f t="shared" si="100"/>
        <v>125000.00000000029</v>
      </c>
      <c r="AB50" s="191"/>
      <c r="AC50" s="192">
        <f>AA50*(1+$B$9)</f>
        <v>127346.15814018856</v>
      </c>
      <c r="AD50" s="192">
        <f t="shared" ref="AD50" si="101">AC50*(1+$B$9)</f>
        <v>129736.35194452701</v>
      </c>
      <c r="AE50" s="192">
        <f t="shared" ref="AD50:AN50" si="102">AD50*(1+$B$9)</f>
        <v>132171.40793007085</v>
      </c>
      <c r="AF50" s="192">
        <f t="shared" si="102"/>
        <v>134652.16812699309</v>
      </c>
      <c r="AG50" s="192">
        <f t="shared" si="102"/>
        <v>137179.49036975423</v>
      </c>
      <c r="AH50" s="224">
        <f t="shared" si="102"/>
        <v>139754.24859373725</v>
      </c>
      <c r="AI50" s="192">
        <f t="shared" si="102"/>
        <v>142377.33313744998</v>
      </c>
      <c r="AJ50" s="192">
        <f t="shared" si="102"/>
        <v>145049.65105039979</v>
      </c>
      <c r="AK50" s="192">
        <f t="shared" si="102"/>
        <v>147772.12640674668</v>
      </c>
      <c r="AL50" s="192">
        <f t="shared" si="102"/>
        <v>150545.70062484362</v>
      </c>
      <c r="AM50" s="192">
        <f t="shared" si="102"/>
        <v>153371.33279277419</v>
      </c>
      <c r="AN50" s="192">
        <f t="shared" si="102"/>
        <v>156250.00000000052</v>
      </c>
      <c r="AO50" s="191"/>
      <c r="AP50" s="192">
        <f>AN50*(1+$B$9)</f>
        <v>159182.69767523586</v>
      </c>
      <c r="AQ50" s="192">
        <f t="shared" ref="AQ50" si="103">AP50*(1+$B$9)</f>
        <v>162170.4399306589</v>
      </c>
      <c r="AR50" s="192">
        <f t="shared" ref="AR50" si="104">AQ50*(1+$B$9)</f>
        <v>165214.25991258872</v>
      </c>
      <c r="AS50" s="192">
        <f t="shared" ref="AS50" si="105">AR50*(1+$B$9)</f>
        <v>168315.21015874151</v>
      </c>
      <c r="AT50" s="192">
        <f t="shared" ref="AT50" si="106">AS50*(1+$B$9)</f>
        <v>171474.36296219294</v>
      </c>
      <c r="AU50" s="192">
        <f t="shared" ref="AU50" si="107">AT50*(1+$B$9)</f>
        <v>174692.81074217171</v>
      </c>
      <c r="AV50" s="192">
        <f t="shared" ref="AV50" si="108">AU50*(1+$B$9)</f>
        <v>177971.66642181264</v>
      </c>
      <c r="AW50" s="192">
        <f t="shared" ref="AW50" si="109">AV50*(1+$B$9)</f>
        <v>181312.0638129999</v>
      </c>
      <c r="AX50" s="192">
        <f t="shared" ref="AX50" si="110">AW50*(1+$B$9)</f>
        <v>184715.15800843353</v>
      </c>
      <c r="AY50" s="192">
        <f t="shared" ref="AY50" si="111">AX50*(1+$B$9)</f>
        <v>188182.12578105472</v>
      </c>
      <c r="AZ50" s="192">
        <f t="shared" ref="AZ50:BA50" si="112">AY50*(1+$B$9)</f>
        <v>191714.16599096794</v>
      </c>
      <c r="BA50" s="192">
        <f t="shared" si="112"/>
        <v>195312.50000000084</v>
      </c>
      <c r="BB50" s="191"/>
    </row>
    <row r="51" spans="1:54" ht="15.5" x14ac:dyDescent="0.35">
      <c r="A51" s="43" t="s">
        <v>48</v>
      </c>
      <c r="B51" s="45"/>
      <c r="C51" s="45">
        <f>$B$8*(86400/((C49*10^12)*(2^32/(C31*10^12))))*30</f>
        <v>1.3235166577691377</v>
      </c>
      <c r="D51" s="45">
        <f t="shared" ref="D51:N51" si="113">$B$8*(86400/((D49*10^12)*(2^32/(D31*10^12))))*30</f>
        <v>1.9350510564282657</v>
      </c>
      <c r="E51" s="45">
        <f t="shared" si="113"/>
        <v>2.5147969365497214</v>
      </c>
      <c r="F51" s="45">
        <f t="shared" si="113"/>
        <v>3.0639713021415371</v>
      </c>
      <c r="G51" s="45">
        <f t="shared" si="113"/>
        <v>3.5837499257884282</v>
      </c>
      <c r="H51" s="45">
        <f t="shared" si="113"/>
        <v>4.0752686559326117</v>
      </c>
      <c r="I51" s="45">
        <f t="shared" si="113"/>
        <v>4.5396246843989836</v>
      </c>
      <c r="J51" s="45">
        <f t="shared" si="113"/>
        <v>4.4247802447461941</v>
      </c>
      <c r="K51" s="45">
        <f t="shared" si="113"/>
        <v>4.3128411653899263</v>
      </c>
      <c r="L51" s="45">
        <f t="shared" si="113"/>
        <v>4.2037339458761904</v>
      </c>
      <c r="M51" s="45">
        <f t="shared" si="113"/>
        <v>4.097386945181908</v>
      </c>
      <c r="N51" s="45">
        <f t="shared" si="113"/>
        <v>3.9937303346746074</v>
      </c>
      <c r="O51" s="186"/>
      <c r="P51" s="45">
        <f t="shared" ref="P51:AA51" si="114">$B$8*(86400/((P49*10^12)*(2^32/(P31*10^12))))*30</f>
        <v>3.8926960522621674</v>
      </c>
      <c r="Q51" s="45">
        <f t="shared" si="114"/>
        <v>3.7942177577024792</v>
      </c>
      <c r="R51" s="45">
        <f t="shared" si="114"/>
        <v>3.6982307890437052</v>
      </c>
      <c r="S51" s="45">
        <f t="shared" si="114"/>
        <v>3.6046721201665117</v>
      </c>
      <c r="T51" s="45">
        <f t="shared" si="114"/>
        <v>3.5134803194004172</v>
      </c>
      <c r="U51" s="45">
        <f t="shared" si="114"/>
        <v>3.4245955091870677</v>
      </c>
      <c r="V51" s="45">
        <f t="shared" si="114"/>
        <v>3.337959326763956</v>
      </c>
      <c r="W51" s="45">
        <f t="shared" si="114"/>
        <v>3.2535148858427867</v>
      </c>
      <c r="X51" s="45">
        <f t="shared" si="114"/>
        <v>3.171206739257296</v>
      </c>
      <c r="Y51" s="45">
        <f t="shared" si="114"/>
        <v>3.0909808425560206</v>
      </c>
      <c r="Z51" s="45">
        <f t="shared" si="114"/>
        <v>3.0127845185161064</v>
      </c>
      <c r="AA51" s="45">
        <f t="shared" si="114"/>
        <v>2.9365664225548564</v>
      </c>
      <c r="AB51" s="191"/>
      <c r="AC51" s="45">
        <f t="shared" ref="AC51:AD51" si="115">$B$8*(86400/((AC49*10^12)*(2^32/(AC31*10^12))))*30</f>
        <v>2.862276509016298</v>
      </c>
      <c r="AD51" s="45">
        <f t="shared" si="115"/>
        <v>2.7898659983106446</v>
      </c>
      <c r="AE51" s="45">
        <f t="shared" ref="AC51:AG51" si="116">$B$8*(86400/((AE49*10^12)*(2^32/(AE31*10^12))))*30</f>
        <v>2.7192873448850756</v>
      </c>
      <c r="AF51" s="45">
        <f t="shared" si="116"/>
        <v>2.6504942060047862</v>
      </c>
      <c r="AG51" s="45">
        <f t="shared" si="116"/>
        <v>2.5834414113238346</v>
      </c>
      <c r="AH51" s="225">
        <f t="shared" ref="AH51:AQ51" si="117">$B$8*(86400/((AH49*10^12)*(2^32/(AH31*10^12))))*30/2</f>
        <v>1.8943926002277298</v>
      </c>
      <c r="AI51" s="225">
        <f t="shared" si="117"/>
        <v>1.8464678329219175</v>
      </c>
      <c r="AJ51" s="225">
        <f t="shared" si="117"/>
        <v>1.7997554770882778</v>
      </c>
      <c r="AK51" s="225">
        <f t="shared" si="117"/>
        <v>1.7542248608704731</v>
      </c>
      <c r="AL51" s="225">
        <f t="shared" si="117"/>
        <v>1.7098460883556403</v>
      </c>
      <c r="AM51" s="225">
        <f t="shared" si="117"/>
        <v>1.6665900199444004</v>
      </c>
      <c r="AN51" s="225">
        <f t="shared" si="117"/>
        <v>1.6244282532174692</v>
      </c>
      <c r="AO51" s="191"/>
      <c r="AP51" s="225">
        <f t="shared" si="117"/>
        <v>1.5833331042863155</v>
      </c>
      <c r="AQ51" s="225">
        <f t="shared" si="117"/>
        <v>1.5432775896156026</v>
      </c>
      <c r="AR51" s="225">
        <f t="shared" ref="AR51:AZ51" si="118">$B$8*(86400/((AR49*10^12)*(2^32/(AR31*10^12))))*30/2</f>
        <v>1.5042354083055023</v>
      </c>
      <c r="AS51" s="225">
        <f t="shared" si="118"/>
        <v>1.4661809248222273</v>
      </c>
      <c r="AT51" s="225">
        <f t="shared" si="118"/>
        <v>1.4290891521654507</v>
      </c>
      <c r="AU51" s="225">
        <f t="shared" si="118"/>
        <v>1.3929357354615652</v>
      </c>
      <c r="AV51" s="225">
        <f t="shared" si="118"/>
        <v>1.357696935971997</v>
      </c>
      <c r="AW51" s="225">
        <f t="shared" si="118"/>
        <v>1.323349615506086</v>
      </c>
      <c r="AX51" s="225">
        <f t="shared" si="118"/>
        <v>1.2898712212282881</v>
      </c>
      <c r="AY51" s="225">
        <f t="shared" si="118"/>
        <v>1.2572397708497347</v>
      </c>
      <c r="AZ51" s="225">
        <f t="shared" si="118"/>
        <v>1.2254338381944112</v>
      </c>
      <c r="BA51" s="225">
        <f t="shared" ref="BA51" si="119">$B$8*(86400/((BA49*10^12)*(2^32/(BA31*10^12))))*30/2</f>
        <v>1.1944325391304915</v>
      </c>
      <c r="BB51" s="191"/>
    </row>
    <row r="52" spans="1:54" ht="15.5" x14ac:dyDescent="0.35">
      <c r="A52" s="43" t="s">
        <v>100</v>
      </c>
      <c r="B52" s="45"/>
      <c r="C52" s="45">
        <f t="shared" ref="C52:N52" si="120">C51*0.9</f>
        <v>1.191164991992224</v>
      </c>
      <c r="D52" s="45">
        <f t="shared" si="120"/>
        <v>1.7415459507854392</v>
      </c>
      <c r="E52" s="45">
        <f t="shared" si="120"/>
        <v>2.2633172428947494</v>
      </c>
      <c r="F52" s="45">
        <f t="shared" si="120"/>
        <v>2.7575741719273834</v>
      </c>
      <c r="G52" s="45">
        <f t="shared" si="120"/>
        <v>3.2253749332095856</v>
      </c>
      <c r="H52" s="45">
        <f t="shared" si="120"/>
        <v>3.6677417903393508</v>
      </c>
      <c r="I52" s="45">
        <f>I51*0.9</f>
        <v>4.0856622159590854</v>
      </c>
      <c r="J52" s="45">
        <f t="shared" si="120"/>
        <v>3.982302220271575</v>
      </c>
      <c r="K52" s="45">
        <f t="shared" si="120"/>
        <v>3.8815570488509339</v>
      </c>
      <c r="L52" s="45">
        <f t="shared" si="120"/>
        <v>3.7833605512885713</v>
      </c>
      <c r="M52" s="45">
        <f t="shared" si="120"/>
        <v>3.6876482506637172</v>
      </c>
      <c r="N52" s="45">
        <f t="shared" si="120"/>
        <v>3.5943573012071468</v>
      </c>
      <c r="O52" s="186"/>
      <c r="P52" s="45">
        <f t="shared" ref="P52:AA52" si="121">P51*0.9</f>
        <v>3.5034264470359506</v>
      </c>
      <c r="Q52" s="45">
        <f t="shared" si="121"/>
        <v>3.4147959819322313</v>
      </c>
      <c r="R52" s="45">
        <f t="shared" si="121"/>
        <v>3.3284077101393348</v>
      </c>
      <c r="S52" s="45">
        <f t="shared" si="121"/>
        <v>3.2442049081498605</v>
      </c>
      <c r="T52" s="45">
        <f t="shared" si="121"/>
        <v>3.1621322874603757</v>
      </c>
      <c r="U52" s="45">
        <f t="shared" si="121"/>
        <v>3.0821359582683612</v>
      </c>
      <c r="V52" s="45">
        <f t="shared" si="121"/>
        <v>3.0041633940875605</v>
      </c>
      <c r="W52" s="45">
        <f t="shared" si="121"/>
        <v>2.9281633972585079</v>
      </c>
      <c r="X52" s="45">
        <f t="shared" si="121"/>
        <v>2.8540860653315665</v>
      </c>
      <c r="Y52" s="45">
        <f t="shared" si="121"/>
        <v>2.7818827583004184</v>
      </c>
      <c r="Z52" s="45">
        <f t="shared" si="121"/>
        <v>2.7115060666644957</v>
      </c>
      <c r="AA52" s="45">
        <f t="shared" si="121"/>
        <v>2.6429097802993708</v>
      </c>
      <c r="AB52" s="191"/>
      <c r="AC52" s="45">
        <f t="shared" ref="AC52:AD52" si="122">AC51*0.9</f>
        <v>2.5760488581146683</v>
      </c>
      <c r="AD52" s="45">
        <f t="shared" si="122"/>
        <v>2.5108793984795801</v>
      </c>
      <c r="AE52" s="45">
        <f t="shared" ref="AC52:AN52" si="123">AE51*0.9</f>
        <v>2.4473586103965683</v>
      </c>
      <c r="AF52" s="45">
        <f t="shared" si="123"/>
        <v>2.3854447854043075</v>
      </c>
      <c r="AG52" s="45">
        <f t="shared" si="123"/>
        <v>2.3250972701914514</v>
      </c>
      <c r="AH52" s="225">
        <f t="shared" si="123"/>
        <v>1.7049533402049568</v>
      </c>
      <c r="AI52" s="45">
        <f t="shared" si="123"/>
        <v>1.6618210496297259</v>
      </c>
      <c r="AJ52" s="45">
        <f t="shared" si="123"/>
        <v>1.6197799293794499</v>
      </c>
      <c r="AK52" s="45">
        <f t="shared" si="123"/>
        <v>1.5788023747834259</v>
      </c>
      <c r="AL52" s="45">
        <f t="shared" si="123"/>
        <v>1.5388614795200763</v>
      </c>
      <c r="AM52" s="45">
        <f t="shared" si="123"/>
        <v>1.4999310179499603</v>
      </c>
      <c r="AN52" s="45">
        <f t="shared" si="123"/>
        <v>1.4619854278957223</v>
      </c>
      <c r="AO52" s="191"/>
      <c r="AP52" s="45">
        <f t="shared" ref="AP52:AQ52" si="124">AP51*0.9</f>
        <v>1.4249997938576839</v>
      </c>
      <c r="AQ52" s="45">
        <f t="shared" si="124"/>
        <v>1.3889498306540424</v>
      </c>
      <c r="AR52" s="45">
        <f t="shared" ref="AR52:AZ52" si="125">AR51*0.9</f>
        <v>1.3538118674749522</v>
      </c>
      <c r="AS52" s="45">
        <f t="shared" si="125"/>
        <v>1.3195628323400046</v>
      </c>
      <c r="AT52" s="45">
        <f t="shared" si="125"/>
        <v>1.2861802369489057</v>
      </c>
      <c r="AU52" s="45">
        <f t="shared" si="125"/>
        <v>1.2536421619154088</v>
      </c>
      <c r="AV52" s="45">
        <f t="shared" si="125"/>
        <v>1.2219272423747973</v>
      </c>
      <c r="AW52" s="45">
        <f t="shared" si="125"/>
        <v>1.1910146539554773</v>
      </c>
      <c r="AX52" s="45">
        <f t="shared" si="125"/>
        <v>1.1608840991054594</v>
      </c>
      <c r="AY52" s="45">
        <f t="shared" si="125"/>
        <v>1.1315157937647613</v>
      </c>
      <c r="AZ52" s="45">
        <f t="shared" si="125"/>
        <v>1.10289045437497</v>
      </c>
      <c r="BA52" s="45">
        <f t="shared" ref="BA52" si="126">BA51*0.9</f>
        <v>1.0749892852174423</v>
      </c>
      <c r="BB52" s="191"/>
    </row>
    <row r="53" spans="1:54" ht="15.5" x14ac:dyDescent="0.35">
      <c r="A53" s="49" t="s">
        <v>101</v>
      </c>
      <c r="B53" s="129"/>
      <c r="C53" s="129">
        <f>C52*C50</f>
        <v>97081.78268243061</v>
      </c>
      <c r="D53" s="129">
        <f t="shared" ref="D53:M53" si="127">D52*D50</f>
        <v>144602.76377514566</v>
      </c>
      <c r="E53" s="129">
        <f t="shared" si="127"/>
        <v>191453.32901491487</v>
      </c>
      <c r="F53" s="129">
        <f t="shared" si="127"/>
        <v>237640.5382534521</v>
      </c>
      <c r="G53" s="129">
        <f t="shared" si="127"/>
        <v>283171.38533700485</v>
      </c>
      <c r="H53" s="129">
        <f t="shared" si="127"/>
        <v>328052.79868462298</v>
      </c>
      <c r="I53" s="129">
        <f>I52*I50</f>
        <v>372291.6418615664</v>
      </c>
      <c r="J53" s="129">
        <f t="shared" si="127"/>
        <v>369684.19035367871</v>
      </c>
      <c r="K53" s="129">
        <f t="shared" si="127"/>
        <v>367095.00088179042</v>
      </c>
      <c r="L53" s="129">
        <f t="shared" si="127"/>
        <v>364523.94554248406</v>
      </c>
      <c r="M53" s="129">
        <f t="shared" si="127"/>
        <v>361970.89732815063</v>
      </c>
      <c r="N53" s="129">
        <f>N52*N50</f>
        <v>359435.7301207151</v>
      </c>
      <c r="O53" s="24">
        <f>SUM(B53:N53)</f>
        <v>3477004.0038359566</v>
      </c>
      <c r="P53" s="129">
        <f t="shared" ref="P53" si="128">P52*P50</f>
        <v>356918.31868540688</v>
      </c>
      <c r="Q53" s="129">
        <f t="shared" ref="Q53" si="129">Q52*Q50</f>
        <v>354418.53866457287</v>
      </c>
      <c r="R53" s="129">
        <f t="shared" ref="R53" si="130">R52*R50</f>
        <v>351936.26657153486</v>
      </c>
      <c r="S53" s="129">
        <f t="shared" ref="S53" si="131">S52*S50</f>
        <v>349471.37978448858</v>
      </c>
      <c r="T53" s="129">
        <f t="shared" ref="T53" si="132">T52*T50</f>
        <v>347023.7565404473</v>
      </c>
      <c r="U53" s="129">
        <f t="shared" ref="U53" si="133">U52*U50</f>
        <v>344593.27592922613</v>
      </c>
      <c r="V53" s="129">
        <f t="shared" ref="V53" si="134">V52*V50</f>
        <v>342179.81788746925</v>
      </c>
      <c r="W53" s="129">
        <f t="shared" ref="W53" si="135">W52*W50</f>
        <v>339783.26319271943</v>
      </c>
      <c r="X53" s="129">
        <f t="shared" ref="X53" si="136">X52*X50</f>
        <v>337403.49345752806</v>
      </c>
      <c r="Y53" s="129">
        <f>Y52*Y50</f>
        <v>335040.39112360688</v>
      </c>
      <c r="Z53" s="129">
        <f>Z52*Z50</f>
        <v>332693.83945602091</v>
      </c>
      <c r="AA53" s="129">
        <f t="shared" ref="AA53" si="137">AA52*AA50</f>
        <v>330363.72253742215</v>
      </c>
      <c r="AB53" s="42"/>
      <c r="AC53" s="129">
        <f t="shared" ref="AC53:AD53" si="138">AC52*AC50</f>
        <v>328049.92526232271</v>
      </c>
      <c r="AD53" s="129">
        <f t="shared" si="138"/>
        <v>325752.33333140909</v>
      </c>
      <c r="AE53" s="129">
        <f t="shared" ref="AE53" si="139">AE52*AE50</f>
        <v>323470.83324589615</v>
      </c>
      <c r="AF53" s="129">
        <f t="shared" ref="AF53" si="140">AF52*AF50</f>
        <v>321205.31230191974</v>
      </c>
      <c r="AG53" s="129">
        <f t="shared" ref="AG53" si="141">AG52*AG50</f>
        <v>318955.65858497005</v>
      </c>
      <c r="AH53" s="226">
        <f>AH52*AH50</f>
        <v>238274.47294772623</v>
      </c>
      <c r="AI53" s="129">
        <f t="shared" ref="AI53" si="142">AI52*AI50</f>
        <v>236605.64919795829</v>
      </c>
      <c r="AJ53" s="129">
        <f t="shared" ref="AJ53" si="143">AJ52*AJ50</f>
        <v>234948.51353493042</v>
      </c>
      <c r="AK53" s="129">
        <f t="shared" ref="AK53" si="144">AK52*AK50</f>
        <v>233302.98409776826</v>
      </c>
      <c r="AL53" s="129">
        <f t="shared" ref="AL53" si="145">AL52*AL50</f>
        <v>231668.97959893334</v>
      </c>
      <c r="AM53" s="129">
        <f t="shared" ref="AM53" si="146">AM52*AM50</f>
        <v>230046.41932020793</v>
      </c>
      <c r="AN53" s="129">
        <f t="shared" ref="AN53" si="147">AN52*AN50</f>
        <v>228435.22310870737</v>
      </c>
      <c r="AO53" s="42">
        <f>SUM(AC53:AN53)</f>
        <v>3250716.3045327496</v>
      </c>
      <c r="AP53" s="129">
        <f t="shared" ref="AP53:AQ53" si="148">AP52*AP50</f>
        <v>226835.31137292113</v>
      </c>
      <c r="AQ53" s="129">
        <f t="shared" si="148"/>
        <v>225246.60507878024</v>
      </c>
      <c r="AR53" s="129">
        <f t="shared" ref="AR53:AZ53" si="149">AR52*AR50</f>
        <v>223669.02574575387</v>
      </c>
      <c r="AS53" s="129">
        <f t="shared" si="149"/>
        <v>222102.49544297205</v>
      </c>
      <c r="AT53" s="129">
        <f t="shared" si="149"/>
        <v>220546.93678537599</v>
      </c>
      <c r="AU53" s="129">
        <f t="shared" si="149"/>
        <v>219002.27292989549</v>
      </c>
      <c r="AV53" s="129">
        <f t="shared" si="149"/>
        <v>217468.42757165284</v>
      </c>
      <c r="AW53" s="129">
        <f t="shared" si="149"/>
        <v>215945.3249401935</v>
      </c>
      <c r="AX53" s="129">
        <f t="shared" si="149"/>
        <v>214432.88979574296</v>
      </c>
      <c r="AY53" s="129">
        <f t="shared" si="149"/>
        <v>212931.04742549028</v>
      </c>
      <c r="AZ53" s="129">
        <f t="shared" si="149"/>
        <v>211439.72363989707</v>
      </c>
      <c r="BA53" s="129">
        <f t="shared" ref="BA53" si="150">BA52*BA50</f>
        <v>209958.84476903261</v>
      </c>
      <c r="BB53" s="42">
        <f>SUM(AP53:BA53)</f>
        <v>2619578.9054977079</v>
      </c>
    </row>
    <row r="54" spans="1:54" ht="16" thickBot="1" x14ac:dyDescent="0.4">
      <c r="A54" s="127"/>
      <c r="B54" s="197"/>
      <c r="C54" s="128"/>
      <c r="D54" s="128"/>
      <c r="E54" s="128"/>
      <c r="F54" s="128"/>
      <c r="G54" s="128"/>
      <c r="H54" s="128"/>
      <c r="I54" s="128"/>
      <c r="J54" s="128"/>
      <c r="K54" s="128"/>
      <c r="L54" s="128"/>
      <c r="M54" s="128"/>
      <c r="N54" s="128"/>
      <c r="O54" s="128"/>
      <c r="P54" s="195"/>
      <c r="Q54" s="195"/>
      <c r="R54" s="195"/>
      <c r="S54" s="195"/>
      <c r="T54" s="195"/>
      <c r="U54" s="195"/>
      <c r="V54" s="195"/>
      <c r="W54" s="195"/>
      <c r="X54" s="195"/>
      <c r="Y54" s="195"/>
      <c r="Z54" s="195"/>
      <c r="AA54" s="195"/>
      <c r="AB54" s="195"/>
      <c r="AC54" s="195"/>
      <c r="AD54" s="195"/>
      <c r="AE54" s="195"/>
      <c r="AF54" s="195"/>
      <c r="AG54" s="195"/>
      <c r="AH54" s="227"/>
      <c r="AI54" s="195"/>
      <c r="AJ54" s="195"/>
      <c r="AK54" s="195"/>
      <c r="AL54" s="195"/>
      <c r="AM54" s="195"/>
      <c r="AN54" s="195"/>
      <c r="AO54" s="195"/>
      <c r="AP54" s="195"/>
      <c r="AQ54" s="195"/>
      <c r="AR54" s="195"/>
      <c r="AS54" s="195"/>
      <c r="AT54" s="195"/>
      <c r="AU54" s="195"/>
      <c r="AV54" s="195"/>
      <c r="AW54" s="195"/>
      <c r="AX54" s="195"/>
      <c r="AY54" s="195"/>
      <c r="AZ54" s="195"/>
      <c r="BA54" s="195"/>
      <c r="BB54" s="195"/>
    </row>
    <row r="55" spans="1:54" ht="16" thickBot="1" x14ac:dyDescent="0.4">
      <c r="A55" s="46" t="s">
        <v>102</v>
      </c>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220"/>
      <c r="AI55" s="47"/>
      <c r="AJ55" s="47"/>
      <c r="AK55" s="47"/>
      <c r="AL55" s="47"/>
      <c r="AM55" s="47"/>
      <c r="AN55" s="47"/>
      <c r="AO55" s="47"/>
      <c r="AP55" s="47"/>
      <c r="AQ55" s="47"/>
      <c r="AR55" s="47"/>
      <c r="AS55" s="47"/>
      <c r="AT55" s="47"/>
      <c r="AU55" s="47"/>
      <c r="AV55" s="47"/>
      <c r="AW55" s="47"/>
      <c r="AX55" s="47"/>
      <c r="AY55" s="47"/>
      <c r="AZ55" s="47"/>
      <c r="BA55" s="47"/>
      <c r="BB55" s="47"/>
    </row>
    <row r="56" spans="1:54" ht="16" thickBot="1" x14ac:dyDescent="0.4">
      <c r="A56" s="266" t="s">
        <v>191</v>
      </c>
      <c r="B56" s="263">
        <f>B11</f>
        <v>0.01</v>
      </c>
      <c r="C56" s="264">
        <f>$B$11*C$29*1000*24*30</f>
        <v>16848</v>
      </c>
      <c r="D56" s="264">
        <f t="shared" ref="D56:N56" si="151">$B$11*D$29*1000*24*30</f>
        <v>25272.000000000004</v>
      </c>
      <c r="E56" s="264">
        <f t="shared" si="151"/>
        <v>33696</v>
      </c>
      <c r="F56" s="264">
        <f t="shared" si="151"/>
        <v>42120</v>
      </c>
      <c r="G56" s="264">
        <f t="shared" si="151"/>
        <v>50544.000000000007</v>
      </c>
      <c r="H56" s="264">
        <f t="shared" si="151"/>
        <v>58968.000000000007</v>
      </c>
      <c r="I56" s="264">
        <f t="shared" si="151"/>
        <v>67392</v>
      </c>
      <c r="J56" s="264">
        <f t="shared" si="151"/>
        <v>67392</v>
      </c>
      <c r="K56" s="264">
        <f t="shared" si="151"/>
        <v>67392</v>
      </c>
      <c r="L56" s="264">
        <f t="shared" si="151"/>
        <v>67392</v>
      </c>
      <c r="M56" s="264">
        <f t="shared" si="151"/>
        <v>67392</v>
      </c>
      <c r="N56" s="264">
        <f t="shared" si="151"/>
        <v>67392</v>
      </c>
      <c r="O56" s="270">
        <f t="shared" ref="O56" si="152">SUM(B56:N56)</f>
        <v>631800.01</v>
      </c>
      <c r="P56" s="264">
        <f t="shared" ref="P56:AD56" si="153">$B$11*P$29*1000*24*30</f>
        <v>67392</v>
      </c>
      <c r="Q56" s="264">
        <f t="shared" si="153"/>
        <v>67392</v>
      </c>
      <c r="R56" s="264">
        <f t="shared" si="153"/>
        <v>67392</v>
      </c>
      <c r="S56" s="264">
        <f t="shared" si="153"/>
        <v>67392</v>
      </c>
      <c r="T56" s="264">
        <f t="shared" si="153"/>
        <v>67392</v>
      </c>
      <c r="U56" s="264">
        <f t="shared" si="153"/>
        <v>67392</v>
      </c>
      <c r="V56" s="264">
        <f t="shared" si="153"/>
        <v>67392</v>
      </c>
      <c r="W56" s="264">
        <f t="shared" si="153"/>
        <v>67392</v>
      </c>
      <c r="X56" s="264">
        <f t="shared" si="153"/>
        <v>67392</v>
      </c>
      <c r="Y56" s="264">
        <f t="shared" si="153"/>
        <v>67392</v>
      </c>
      <c r="Z56" s="264">
        <f t="shared" si="153"/>
        <v>67392</v>
      </c>
      <c r="AA56" s="264">
        <f t="shared" si="153"/>
        <v>67392</v>
      </c>
      <c r="AB56" s="181"/>
      <c r="AC56" s="264">
        <f t="shared" si="153"/>
        <v>67392</v>
      </c>
      <c r="AD56" s="264">
        <f t="shared" si="153"/>
        <v>67392</v>
      </c>
      <c r="AE56" s="264">
        <f t="shared" ref="AC56:AP56" si="154">$B$11*AE$29*1000*24*30</f>
        <v>67392</v>
      </c>
      <c r="AF56" s="264">
        <f t="shared" si="154"/>
        <v>67392</v>
      </c>
      <c r="AG56" s="264">
        <f t="shared" si="154"/>
        <v>67392</v>
      </c>
      <c r="AH56" s="265">
        <f t="shared" si="154"/>
        <v>60839.999999999985</v>
      </c>
      <c r="AI56" s="264">
        <f t="shared" si="154"/>
        <v>60839.999999999985</v>
      </c>
      <c r="AJ56" s="264">
        <f t="shared" si="154"/>
        <v>60839.999999999985</v>
      </c>
      <c r="AK56" s="264">
        <f t="shared" si="154"/>
        <v>60839.999999999985</v>
      </c>
      <c r="AL56" s="264">
        <f t="shared" si="154"/>
        <v>60839.999999999985</v>
      </c>
      <c r="AM56" s="264">
        <f t="shared" si="154"/>
        <v>60839.999999999985</v>
      </c>
      <c r="AN56" s="264">
        <f t="shared" si="154"/>
        <v>60839.999999999985</v>
      </c>
      <c r="AO56" s="182">
        <f>SUM(C56:AN56)</f>
        <v>2835144.01</v>
      </c>
      <c r="AP56" s="264">
        <f t="shared" ref="AP56:BA56" si="155">$B$11*AP$29*1000*24*30</f>
        <v>60839.999999999985</v>
      </c>
      <c r="AQ56" s="264">
        <f t="shared" si="155"/>
        <v>60839.999999999985</v>
      </c>
      <c r="AR56" s="264">
        <f t="shared" si="155"/>
        <v>60839.999999999985</v>
      </c>
      <c r="AS56" s="264">
        <f t="shared" si="155"/>
        <v>60839.999999999985</v>
      </c>
      <c r="AT56" s="264">
        <f t="shared" si="155"/>
        <v>60839.999999999985</v>
      </c>
      <c r="AU56" s="264">
        <f t="shared" si="155"/>
        <v>60839.999999999985</v>
      </c>
      <c r="AV56" s="264">
        <f t="shared" si="155"/>
        <v>60839.999999999985</v>
      </c>
      <c r="AW56" s="264">
        <f t="shared" si="155"/>
        <v>60839.999999999985</v>
      </c>
      <c r="AX56" s="264">
        <f t="shared" si="155"/>
        <v>60839.999999999985</v>
      </c>
      <c r="AY56" s="264">
        <f t="shared" si="155"/>
        <v>60839.999999999985</v>
      </c>
      <c r="AZ56" s="264">
        <f t="shared" si="155"/>
        <v>60839.999999999985</v>
      </c>
      <c r="BA56" s="264">
        <f t="shared" si="155"/>
        <v>60839.999999999985</v>
      </c>
      <c r="BB56" s="182">
        <f>SUM(P56:BA56)</f>
        <v>5136768.01</v>
      </c>
    </row>
    <row r="57" spans="1:54" ht="16" thickBot="1" x14ac:dyDescent="0.4">
      <c r="A57" s="266" t="s">
        <v>192</v>
      </c>
      <c r="B57" s="263">
        <f>B12</f>
        <v>1.7999999999999999E-2</v>
      </c>
      <c r="C57" s="264">
        <f>$B$12*C$29*1000*24*30</f>
        <v>30326.399999999998</v>
      </c>
      <c r="D57" s="264">
        <f t="shared" ref="D57:N57" si="156">$B$12*D$29*1000*24*30</f>
        <v>45489.599999999991</v>
      </c>
      <c r="E57" s="264">
        <f t="shared" si="156"/>
        <v>60652.799999999996</v>
      </c>
      <c r="F57" s="264">
        <f t="shared" si="156"/>
        <v>75816</v>
      </c>
      <c r="G57" s="264">
        <f t="shared" si="156"/>
        <v>90979.199999999983</v>
      </c>
      <c r="H57" s="264">
        <f t="shared" si="156"/>
        <v>106142.39999999997</v>
      </c>
      <c r="I57" s="264">
        <f t="shared" si="156"/>
        <v>121305.59999999999</v>
      </c>
      <c r="J57" s="264">
        <f t="shared" si="156"/>
        <v>121305.59999999999</v>
      </c>
      <c r="K57" s="264">
        <f t="shared" si="156"/>
        <v>121305.59999999999</v>
      </c>
      <c r="L57" s="264">
        <f t="shared" si="156"/>
        <v>121305.59999999999</v>
      </c>
      <c r="M57" s="264">
        <f t="shared" si="156"/>
        <v>121305.59999999999</v>
      </c>
      <c r="N57" s="264">
        <f t="shared" si="156"/>
        <v>121305.59999999999</v>
      </c>
      <c r="O57" s="270">
        <f t="shared" ref="O57" si="157">SUM(B57:N57)</f>
        <v>1137240.0179999999</v>
      </c>
      <c r="P57" s="264">
        <f t="shared" ref="P57:AD57" si="158">$B$12*P$29*1000*24*30</f>
        <v>121305.59999999999</v>
      </c>
      <c r="Q57" s="264">
        <f t="shared" si="158"/>
        <v>121305.59999999999</v>
      </c>
      <c r="R57" s="264">
        <f t="shared" si="158"/>
        <v>121305.59999999999</v>
      </c>
      <c r="S57" s="264">
        <f t="shared" si="158"/>
        <v>121305.59999999999</v>
      </c>
      <c r="T57" s="264">
        <f t="shared" si="158"/>
        <v>121305.59999999999</v>
      </c>
      <c r="U57" s="264">
        <f t="shared" si="158"/>
        <v>121305.59999999999</v>
      </c>
      <c r="V57" s="264">
        <f t="shared" si="158"/>
        <v>121305.59999999999</v>
      </c>
      <c r="W57" s="264">
        <f t="shared" si="158"/>
        <v>121305.59999999999</v>
      </c>
      <c r="X57" s="264">
        <f t="shared" si="158"/>
        <v>121305.59999999999</v>
      </c>
      <c r="Y57" s="264">
        <f t="shared" si="158"/>
        <v>121305.59999999999</v>
      </c>
      <c r="Z57" s="264">
        <f t="shared" si="158"/>
        <v>121305.59999999999</v>
      </c>
      <c r="AA57" s="264">
        <f t="shared" si="158"/>
        <v>121305.59999999999</v>
      </c>
      <c r="AB57" s="181"/>
      <c r="AC57" s="264">
        <f t="shared" si="158"/>
        <v>121305.59999999999</v>
      </c>
      <c r="AD57" s="264">
        <f t="shared" si="158"/>
        <v>121305.59999999999</v>
      </c>
      <c r="AE57" s="264">
        <f t="shared" ref="AC57:AP57" si="159">$B$12*AE$29*1000*24*30</f>
        <v>121305.59999999999</v>
      </c>
      <c r="AF57" s="264">
        <f t="shared" si="159"/>
        <v>121305.59999999999</v>
      </c>
      <c r="AG57" s="264">
        <f t="shared" si="159"/>
        <v>121305.59999999999</v>
      </c>
      <c r="AH57" s="265">
        <f t="shared" si="159"/>
        <v>109511.99999999999</v>
      </c>
      <c r="AI57" s="264">
        <f t="shared" si="159"/>
        <v>109511.99999999999</v>
      </c>
      <c r="AJ57" s="264">
        <f t="shared" si="159"/>
        <v>109511.99999999999</v>
      </c>
      <c r="AK57" s="264">
        <f t="shared" si="159"/>
        <v>109511.99999999999</v>
      </c>
      <c r="AL57" s="264">
        <f t="shared" si="159"/>
        <v>109511.99999999999</v>
      </c>
      <c r="AM57" s="264">
        <f t="shared" si="159"/>
        <v>109511.99999999999</v>
      </c>
      <c r="AN57" s="264">
        <f t="shared" si="159"/>
        <v>109511.99999999999</v>
      </c>
      <c r="AO57" s="182">
        <f>SUM(C57:AN57)</f>
        <v>5103259.2180000013</v>
      </c>
      <c r="AP57" s="264">
        <f t="shared" ref="AP57:BA57" si="160">$B$12*AP$29*1000*24*30</f>
        <v>109511.99999999999</v>
      </c>
      <c r="AQ57" s="264">
        <f t="shared" si="160"/>
        <v>109511.99999999999</v>
      </c>
      <c r="AR57" s="264">
        <f t="shared" si="160"/>
        <v>109511.99999999999</v>
      </c>
      <c r="AS57" s="264">
        <f t="shared" si="160"/>
        <v>109511.99999999999</v>
      </c>
      <c r="AT57" s="264">
        <f t="shared" si="160"/>
        <v>109511.99999999999</v>
      </c>
      <c r="AU57" s="264">
        <f t="shared" si="160"/>
        <v>109511.99999999999</v>
      </c>
      <c r="AV57" s="264">
        <f t="shared" si="160"/>
        <v>109511.99999999999</v>
      </c>
      <c r="AW57" s="264">
        <f t="shared" si="160"/>
        <v>109511.99999999999</v>
      </c>
      <c r="AX57" s="264">
        <f t="shared" si="160"/>
        <v>109511.99999999999</v>
      </c>
      <c r="AY57" s="264">
        <f t="shared" si="160"/>
        <v>109511.99999999999</v>
      </c>
      <c r="AZ57" s="264">
        <f t="shared" si="160"/>
        <v>109511.99999999999</v>
      </c>
      <c r="BA57" s="264">
        <f t="shared" si="160"/>
        <v>109511.99999999999</v>
      </c>
      <c r="BB57" s="182">
        <f>SUM(P57:BA57)</f>
        <v>9246182.4180000015</v>
      </c>
    </row>
    <row r="58" spans="1:54" ht="16" thickBot="1" x14ac:dyDescent="0.4">
      <c r="A58" s="266" t="s">
        <v>160</v>
      </c>
      <c r="B58" s="263">
        <f>B13</f>
        <v>2.7999999999999997E-2</v>
      </c>
      <c r="C58" s="264">
        <f>$B$13*C$29*1000*24*30</f>
        <v>47174.400000000001</v>
      </c>
      <c r="D58" s="264">
        <f t="shared" ref="D58:N58" si="161">$B$13*D$29*1000*24*30</f>
        <v>70761.599999999977</v>
      </c>
      <c r="E58" s="264">
        <f t="shared" si="161"/>
        <v>94348.800000000003</v>
      </c>
      <c r="F58" s="264">
        <f t="shared" si="161"/>
        <v>117936</v>
      </c>
      <c r="G58" s="264">
        <f t="shared" si="161"/>
        <v>141523.19999999995</v>
      </c>
      <c r="H58" s="264">
        <f t="shared" si="161"/>
        <v>165110.39999999999</v>
      </c>
      <c r="I58" s="264">
        <f t="shared" si="161"/>
        <v>188697.60000000001</v>
      </c>
      <c r="J58" s="264">
        <f t="shared" si="161"/>
        <v>188697.60000000001</v>
      </c>
      <c r="K58" s="264">
        <f t="shared" si="161"/>
        <v>188697.60000000001</v>
      </c>
      <c r="L58" s="264">
        <f t="shared" si="161"/>
        <v>188697.60000000001</v>
      </c>
      <c r="M58" s="264">
        <f t="shared" si="161"/>
        <v>188697.60000000001</v>
      </c>
      <c r="N58" s="264">
        <f t="shared" si="161"/>
        <v>188697.60000000001</v>
      </c>
      <c r="O58" s="270">
        <f t="shared" ref="O58:O67" si="162">SUM(B58:N58)</f>
        <v>1769040.0280000002</v>
      </c>
      <c r="P58" s="264">
        <f t="shared" ref="P58:AD58" si="163">$B$13*P$29*1000*24*30</f>
        <v>188697.60000000001</v>
      </c>
      <c r="Q58" s="264">
        <f t="shared" si="163"/>
        <v>188697.60000000001</v>
      </c>
      <c r="R58" s="264">
        <f t="shared" si="163"/>
        <v>188697.60000000001</v>
      </c>
      <c r="S58" s="264">
        <f t="shared" si="163"/>
        <v>188697.60000000001</v>
      </c>
      <c r="T58" s="264">
        <f t="shared" si="163"/>
        <v>188697.60000000001</v>
      </c>
      <c r="U58" s="264">
        <f t="shared" si="163"/>
        <v>188697.60000000001</v>
      </c>
      <c r="V58" s="264">
        <f t="shared" si="163"/>
        <v>188697.60000000001</v>
      </c>
      <c r="W58" s="264">
        <f t="shared" si="163"/>
        <v>188697.60000000001</v>
      </c>
      <c r="X58" s="264">
        <f t="shared" si="163"/>
        <v>188697.60000000001</v>
      </c>
      <c r="Y58" s="264">
        <f t="shared" si="163"/>
        <v>188697.60000000001</v>
      </c>
      <c r="Z58" s="264">
        <f t="shared" si="163"/>
        <v>188697.60000000001</v>
      </c>
      <c r="AA58" s="264">
        <f t="shared" si="163"/>
        <v>188697.60000000001</v>
      </c>
      <c r="AB58" s="181"/>
      <c r="AC58" s="264">
        <f t="shared" si="163"/>
        <v>188697.60000000001</v>
      </c>
      <c r="AD58" s="264">
        <f t="shared" si="163"/>
        <v>188697.60000000001</v>
      </c>
      <c r="AE58" s="264">
        <f t="shared" ref="AC58:AP58" si="164">$B$13*AE$29*1000*24*30</f>
        <v>188697.60000000001</v>
      </c>
      <c r="AF58" s="264">
        <f t="shared" si="164"/>
        <v>188697.60000000001</v>
      </c>
      <c r="AG58" s="264">
        <f t="shared" si="164"/>
        <v>188697.60000000001</v>
      </c>
      <c r="AH58" s="265">
        <f t="shared" si="164"/>
        <v>170351.99999999997</v>
      </c>
      <c r="AI58" s="264">
        <f t="shared" si="164"/>
        <v>170351.99999999997</v>
      </c>
      <c r="AJ58" s="264">
        <f t="shared" si="164"/>
        <v>170351.99999999997</v>
      </c>
      <c r="AK58" s="264">
        <f t="shared" si="164"/>
        <v>170351.99999999997</v>
      </c>
      <c r="AL58" s="264">
        <f t="shared" si="164"/>
        <v>170351.99999999997</v>
      </c>
      <c r="AM58" s="264">
        <f t="shared" si="164"/>
        <v>170351.99999999997</v>
      </c>
      <c r="AN58" s="264">
        <f t="shared" si="164"/>
        <v>170351.99999999997</v>
      </c>
      <c r="AO58" s="182">
        <f>SUM(C58:AN58)</f>
        <v>7938403.2279999955</v>
      </c>
      <c r="AP58" s="264">
        <f t="shared" ref="AP58:BA58" si="165">$B$13*AP$29*1000*24*30</f>
        <v>170351.99999999997</v>
      </c>
      <c r="AQ58" s="264">
        <f t="shared" si="165"/>
        <v>170351.99999999997</v>
      </c>
      <c r="AR58" s="264">
        <f t="shared" si="165"/>
        <v>170351.99999999997</v>
      </c>
      <c r="AS58" s="264">
        <f t="shared" si="165"/>
        <v>170351.99999999997</v>
      </c>
      <c r="AT58" s="264">
        <f t="shared" si="165"/>
        <v>170351.99999999997</v>
      </c>
      <c r="AU58" s="264">
        <f t="shared" si="165"/>
        <v>170351.99999999997</v>
      </c>
      <c r="AV58" s="264">
        <f t="shared" si="165"/>
        <v>170351.99999999997</v>
      </c>
      <c r="AW58" s="264">
        <f t="shared" si="165"/>
        <v>170351.99999999997</v>
      </c>
      <c r="AX58" s="264">
        <f t="shared" si="165"/>
        <v>170351.99999999997</v>
      </c>
      <c r="AY58" s="264">
        <f t="shared" si="165"/>
        <v>170351.99999999997</v>
      </c>
      <c r="AZ58" s="264">
        <f t="shared" si="165"/>
        <v>170351.99999999997</v>
      </c>
      <c r="BA58" s="264">
        <f t="shared" si="165"/>
        <v>170351.99999999997</v>
      </c>
      <c r="BB58" s="182">
        <f>SUM(P58:BA58)</f>
        <v>14382950.427999996</v>
      </c>
    </row>
    <row r="59" spans="1:54" ht="15.5" x14ac:dyDescent="0.35">
      <c r="A59" s="267" t="s">
        <v>169</v>
      </c>
      <c r="B59" s="239">
        <v>0.14000000000000001</v>
      </c>
      <c r="C59" s="192">
        <f t="shared" ref="C59:N59" si="166">$B$59*C53</f>
        <v>13591.449575540286</v>
      </c>
      <c r="D59" s="192">
        <f t="shared" si="166"/>
        <v>20244.386928520395</v>
      </c>
      <c r="E59" s="192">
        <f t="shared" si="166"/>
        <v>26803.466062088082</v>
      </c>
      <c r="F59" s="192">
        <f t="shared" si="166"/>
        <v>33269.675355483298</v>
      </c>
      <c r="G59" s="192">
        <f t="shared" si="166"/>
        <v>39643.993947180679</v>
      </c>
      <c r="H59" s="192">
        <f t="shared" si="166"/>
        <v>45927.391815847222</v>
      </c>
      <c r="I59" s="192">
        <f t="shared" si="166"/>
        <v>52120.829860619298</v>
      </c>
      <c r="J59" s="192">
        <f t="shared" si="166"/>
        <v>51755.786649515023</v>
      </c>
      <c r="K59" s="192">
        <f t="shared" si="166"/>
        <v>51393.300123450666</v>
      </c>
      <c r="L59" s="192">
        <f t="shared" si="166"/>
        <v>51033.352375947776</v>
      </c>
      <c r="M59" s="192">
        <f t="shared" si="166"/>
        <v>50675.92562594109</v>
      </c>
      <c r="N59" s="192">
        <f t="shared" si="166"/>
        <v>50321.002216900117</v>
      </c>
      <c r="O59" s="24">
        <f t="shared" si="162"/>
        <v>486780.7005370339</v>
      </c>
      <c r="P59" s="192">
        <f t="shared" ref="P59:AA59" si="167">$B$59*P53</f>
        <v>49968.564615956966</v>
      </c>
      <c r="Q59" s="192">
        <f t="shared" si="167"/>
        <v>49618.59541304021</v>
      </c>
      <c r="R59" s="192">
        <f t="shared" si="167"/>
        <v>49271.077320014883</v>
      </c>
      <c r="S59" s="192">
        <f t="shared" si="167"/>
        <v>48925.993169828405</v>
      </c>
      <c r="T59" s="192">
        <f t="shared" si="167"/>
        <v>48583.32591566263</v>
      </c>
      <c r="U59" s="192">
        <f t="shared" si="167"/>
        <v>48243.058630091662</v>
      </c>
      <c r="V59" s="192">
        <f t="shared" si="167"/>
        <v>47905.174504245697</v>
      </c>
      <c r="W59" s="192">
        <f t="shared" si="167"/>
        <v>47569.656846980724</v>
      </c>
      <c r="X59" s="192">
        <f t="shared" si="167"/>
        <v>47236.48908405393</v>
      </c>
      <c r="Y59" s="192">
        <f t="shared" si="167"/>
        <v>46905.654757304968</v>
      </c>
      <c r="Z59" s="192">
        <f t="shared" si="167"/>
        <v>46577.137523842932</v>
      </c>
      <c r="AA59" s="192">
        <f t="shared" si="167"/>
        <v>46250.921155239106</v>
      </c>
      <c r="AB59" s="240"/>
      <c r="AC59" s="192">
        <f t="shared" ref="AC59:AD59" si="168">$B$59*AC53</f>
        <v>45926.989536725181</v>
      </c>
      <c r="AD59" s="192">
        <f t="shared" si="168"/>
        <v>45605.326666397275</v>
      </c>
      <c r="AE59" s="192">
        <f t="shared" ref="AC59:AG59" si="169">$B$59*AE53</f>
        <v>45285.916654425462</v>
      </c>
      <c r="AF59" s="192">
        <f t="shared" si="169"/>
        <v>44968.743722268766</v>
      </c>
      <c r="AG59" s="192">
        <f t="shared" si="169"/>
        <v>44653.792201895812</v>
      </c>
      <c r="AH59" s="224"/>
      <c r="AI59" s="192"/>
      <c r="AJ59" s="192"/>
      <c r="AK59" s="192"/>
      <c r="AL59" s="192"/>
      <c r="AM59" s="192"/>
      <c r="AN59" s="192"/>
      <c r="AO59" s="260"/>
      <c r="AP59" s="192"/>
      <c r="AQ59" s="192"/>
      <c r="AR59" s="192"/>
      <c r="AS59" s="192"/>
      <c r="AT59" s="192"/>
      <c r="AU59" s="192"/>
      <c r="AV59" s="192"/>
      <c r="AW59" s="192"/>
      <c r="AX59" s="192"/>
      <c r="AY59" s="192"/>
      <c r="AZ59" s="192"/>
      <c r="BA59" s="192"/>
      <c r="BB59" s="260"/>
    </row>
    <row r="60" spans="1:54" ht="16" thickBot="1" x14ac:dyDescent="0.4">
      <c r="A60" s="268" t="s">
        <v>170</v>
      </c>
      <c r="B60" s="177" t="s">
        <v>105</v>
      </c>
      <c r="C60" s="236">
        <f t="shared" ref="C60:N60" si="170">$B$59*C52</f>
        <v>0.16676309887891139</v>
      </c>
      <c r="D60" s="236">
        <f t="shared" si="170"/>
        <v>0.24381643310996151</v>
      </c>
      <c r="E60" s="236">
        <f t="shared" si="170"/>
        <v>0.31686441400526494</v>
      </c>
      <c r="F60" s="236">
        <f t="shared" si="170"/>
        <v>0.38606038406983373</v>
      </c>
      <c r="G60" s="236">
        <f t="shared" si="170"/>
        <v>0.451552490649342</v>
      </c>
      <c r="H60" s="236">
        <f t="shared" si="170"/>
        <v>0.51348385064750912</v>
      </c>
      <c r="I60" s="236">
        <f t="shared" si="170"/>
        <v>0.57199271023427201</v>
      </c>
      <c r="J60" s="236">
        <f t="shared" si="170"/>
        <v>0.55752231083802051</v>
      </c>
      <c r="K60" s="236">
        <f t="shared" si="170"/>
        <v>0.54341798683913078</v>
      </c>
      <c r="L60" s="236">
        <f t="shared" si="170"/>
        <v>0.52967047718040006</v>
      </c>
      <c r="M60" s="236">
        <f t="shared" si="170"/>
        <v>0.51627075509292042</v>
      </c>
      <c r="N60" s="236">
        <f t="shared" si="170"/>
        <v>0.50321002216900057</v>
      </c>
      <c r="O60" s="269">
        <f t="shared" si="162"/>
        <v>5.3006249337145661</v>
      </c>
      <c r="P60" s="236">
        <f t="shared" ref="P60:AA60" si="171">$B$59*P52</f>
        <v>0.49047970258503315</v>
      </c>
      <c r="Q60" s="236">
        <f t="shared" si="171"/>
        <v>0.47807143747051245</v>
      </c>
      <c r="R60" s="236">
        <f t="shared" si="171"/>
        <v>0.46597707941950689</v>
      </c>
      <c r="S60" s="236">
        <f t="shared" si="171"/>
        <v>0.45418868714098054</v>
      </c>
      <c r="T60" s="236">
        <f t="shared" si="171"/>
        <v>0.44269852024445261</v>
      </c>
      <c r="U60" s="236">
        <f t="shared" si="171"/>
        <v>0.43149903415757063</v>
      </c>
      <c r="V60" s="236">
        <f t="shared" si="171"/>
        <v>0.42058287517225851</v>
      </c>
      <c r="W60" s="236">
        <f t="shared" si="171"/>
        <v>0.40994287561619114</v>
      </c>
      <c r="X60" s="236">
        <f t="shared" si="171"/>
        <v>0.39957204914641936</v>
      </c>
      <c r="Y60" s="236">
        <f t="shared" si="171"/>
        <v>0.38946358616205862</v>
      </c>
      <c r="Z60" s="236">
        <f t="shared" si="171"/>
        <v>0.37961084933302941</v>
      </c>
      <c r="AA60" s="236">
        <f t="shared" si="171"/>
        <v>0.37000736924191197</v>
      </c>
      <c r="AB60" s="237"/>
      <c r="AC60" s="236">
        <f t="shared" ref="AC60:AD60" si="172">$B$59*AC52</f>
        <v>0.36064684013605358</v>
      </c>
      <c r="AD60" s="236">
        <f t="shared" si="172"/>
        <v>0.35152311578714124</v>
      </c>
      <c r="AE60" s="236">
        <f t="shared" ref="AC60:AG60" si="173">$B$59*AE52</f>
        <v>0.34263020545551959</v>
      </c>
      <c r="AF60" s="236">
        <f t="shared" si="173"/>
        <v>0.33396226995660305</v>
      </c>
      <c r="AG60" s="236">
        <f t="shared" si="173"/>
        <v>0.32551361782680321</v>
      </c>
      <c r="AH60" s="238"/>
      <c r="AI60" s="236"/>
      <c r="AJ60" s="236"/>
      <c r="AK60" s="236"/>
      <c r="AL60" s="236"/>
      <c r="AM60" s="236"/>
      <c r="AN60" s="236"/>
      <c r="AO60" s="258"/>
      <c r="AP60" s="236"/>
      <c r="AQ60" s="236"/>
      <c r="AR60" s="236"/>
      <c r="AS60" s="236"/>
      <c r="AT60" s="236"/>
      <c r="AU60" s="236"/>
      <c r="AV60" s="236"/>
      <c r="AW60" s="236"/>
      <c r="AX60" s="236"/>
      <c r="AY60" s="236"/>
      <c r="AZ60" s="236"/>
      <c r="BA60" s="236"/>
      <c r="BB60" s="258"/>
    </row>
    <row r="61" spans="1:54" ht="15.5" x14ac:dyDescent="0.35">
      <c r="A61" s="242" t="s">
        <v>103</v>
      </c>
      <c r="B61" s="243">
        <v>1</v>
      </c>
      <c r="C61" s="244">
        <f t="shared" ref="C61:N61" si="174">C53-C58-C59</f>
        <v>36315.933106890327</v>
      </c>
      <c r="D61" s="244">
        <f t="shared" si="174"/>
        <v>53596.776846625289</v>
      </c>
      <c r="E61" s="244">
        <f t="shared" si="174"/>
        <v>70301.062952826789</v>
      </c>
      <c r="F61" s="244">
        <f t="shared" si="174"/>
        <v>86434.862897968807</v>
      </c>
      <c r="G61" s="244">
        <f t="shared" si="174"/>
        <v>102004.19138982421</v>
      </c>
      <c r="H61" s="244">
        <f t="shared" si="174"/>
        <v>117015.00686877576</v>
      </c>
      <c r="I61" s="244">
        <f t="shared" si="174"/>
        <v>131473.2120009471</v>
      </c>
      <c r="J61" s="244">
        <f t="shared" si="174"/>
        <v>129230.80370416369</v>
      </c>
      <c r="K61" s="244">
        <f t="shared" si="174"/>
        <v>127004.10075833974</v>
      </c>
      <c r="L61" s="244">
        <f t="shared" si="174"/>
        <v>124792.99316653627</v>
      </c>
      <c r="M61" s="244">
        <f t="shared" si="174"/>
        <v>122597.37170220954</v>
      </c>
      <c r="N61" s="244">
        <f t="shared" si="174"/>
        <v>120417.12790381498</v>
      </c>
      <c r="O61" s="24">
        <f t="shared" si="162"/>
        <v>1221184.4432989224</v>
      </c>
      <c r="P61" s="244">
        <f t="shared" ref="P61:AA61" si="175">P53-P58-P59</f>
        <v>118252.1540694499</v>
      </c>
      <c r="Q61" s="244">
        <f t="shared" si="175"/>
        <v>116102.34325153266</v>
      </c>
      <c r="R61" s="244">
        <f t="shared" si="175"/>
        <v>113967.58925151997</v>
      </c>
      <c r="S61" s="244">
        <f t="shared" si="175"/>
        <v>111847.78661466017</v>
      </c>
      <c r="T61" s="244">
        <f t="shared" si="175"/>
        <v>109742.83062478466</v>
      </c>
      <c r="U61" s="244">
        <f t="shared" si="175"/>
        <v>107652.61729913446</v>
      </c>
      <c r="V61" s="244">
        <f t="shared" si="175"/>
        <v>105577.04338322356</v>
      </c>
      <c r="W61" s="244">
        <f t="shared" si="175"/>
        <v>103516.0063457387</v>
      </c>
      <c r="X61" s="244">
        <f t="shared" si="175"/>
        <v>101469.40437347413</v>
      </c>
      <c r="Y61" s="244">
        <f t="shared" si="175"/>
        <v>99437.136366301915</v>
      </c>
      <c r="Z61" s="244">
        <f t="shared" si="175"/>
        <v>97419.101932177975</v>
      </c>
      <c r="AA61" s="244">
        <f t="shared" si="175"/>
        <v>95415.201382183033</v>
      </c>
      <c r="AB61" s="244"/>
      <c r="AC61" s="244">
        <f t="shared" ref="AC61:AD61" si="176">AC53-AC58-AC59</f>
        <v>93425.335725597513</v>
      </c>
      <c r="AD61" s="244">
        <f t="shared" si="176"/>
        <v>91449.406665011804</v>
      </c>
      <c r="AE61" s="244">
        <f t="shared" ref="AC61:AN61" si="177">AE53-AE58-AE59</f>
        <v>89487.316591470677</v>
      </c>
      <c r="AF61" s="244">
        <f t="shared" si="177"/>
        <v>87538.968579650973</v>
      </c>
      <c r="AG61" s="244">
        <f t="shared" si="177"/>
        <v>85604.266383074224</v>
      </c>
      <c r="AH61" s="245">
        <f t="shared" si="177"/>
        <v>67922.472947726259</v>
      </c>
      <c r="AI61" s="244">
        <f t="shared" si="177"/>
        <v>66253.649197958322</v>
      </c>
      <c r="AJ61" s="244">
        <f t="shared" si="177"/>
        <v>64596.513534930447</v>
      </c>
      <c r="AK61" s="244">
        <f t="shared" si="177"/>
        <v>62950.984097768291</v>
      </c>
      <c r="AL61" s="244">
        <f t="shared" si="177"/>
        <v>61316.979598933365</v>
      </c>
      <c r="AM61" s="244">
        <f t="shared" si="177"/>
        <v>59694.419320207962</v>
      </c>
      <c r="AN61" s="244">
        <f t="shared" si="177"/>
        <v>58083.223108707403</v>
      </c>
      <c r="AO61" s="246"/>
      <c r="AP61" s="244">
        <f t="shared" ref="AP61:AQ61" si="178">AP53-AP58-AP59</f>
        <v>56483.311372921162</v>
      </c>
      <c r="AQ61" s="244">
        <f t="shared" si="178"/>
        <v>54894.605078780267</v>
      </c>
      <c r="AR61" s="244">
        <f t="shared" ref="AR61:AZ61" si="179">AR53-AR58-AR59</f>
        <v>53317.025745753897</v>
      </c>
      <c r="AS61" s="244">
        <f t="shared" si="179"/>
        <v>51750.495442972082</v>
      </c>
      <c r="AT61" s="244">
        <f t="shared" si="179"/>
        <v>50194.93678537602</v>
      </c>
      <c r="AU61" s="244">
        <f t="shared" si="179"/>
        <v>48650.272929895524</v>
      </c>
      <c r="AV61" s="244">
        <f t="shared" si="179"/>
        <v>47116.427571652865</v>
      </c>
      <c r="AW61" s="244">
        <f t="shared" si="179"/>
        <v>45593.324940193532</v>
      </c>
      <c r="AX61" s="244">
        <f t="shared" si="179"/>
        <v>44080.889795742987</v>
      </c>
      <c r="AY61" s="244">
        <f t="shared" si="179"/>
        <v>42579.047425490309</v>
      </c>
      <c r="AZ61" s="244">
        <f t="shared" si="179"/>
        <v>41087.7236398971</v>
      </c>
      <c r="BA61" s="244">
        <f t="shared" ref="BA61" si="180">BA53-BA58-BA59</f>
        <v>39606.844769032643</v>
      </c>
      <c r="BB61" s="246"/>
    </row>
    <row r="62" spans="1:54" ht="16" thickBot="1" x14ac:dyDescent="0.4">
      <c r="A62" s="247" t="s">
        <v>175</v>
      </c>
      <c r="B62" s="248" t="s">
        <v>105</v>
      </c>
      <c r="C62" s="249">
        <f t="shared" ref="C62:N62" si="181">C61/C50</f>
        <v>0.44558584497735876</v>
      </c>
      <c r="D62" s="249">
        <f t="shared" si="181"/>
        <v>0.64550114572868589</v>
      </c>
      <c r="E62" s="249">
        <f t="shared" si="181"/>
        <v>0.83108300489549936</v>
      </c>
      <c r="F62" s="249">
        <f t="shared" si="181"/>
        <v>1.0029877361551585</v>
      </c>
      <c r="G62" s="249">
        <f t="shared" si="181"/>
        <v>1.1618467791140128</v>
      </c>
      <c r="H62" s="249">
        <f t="shared" si="181"/>
        <v>1.3082675487309363</v>
      </c>
      <c r="I62" s="249">
        <f t="shared" si="181"/>
        <v>1.4428342575651614</v>
      </c>
      <c r="J62" s="249">
        <f t="shared" si="181"/>
        <v>1.3920966326047544</v>
      </c>
      <c r="K62" s="249">
        <f t="shared" si="181"/>
        <v>1.3429048648097828</v>
      </c>
      <c r="L62" s="249">
        <f t="shared" si="181"/>
        <v>1.2952150145331718</v>
      </c>
      <c r="M62" s="249">
        <f t="shared" si="181"/>
        <v>1.24898434274888</v>
      </c>
      <c r="N62" s="249">
        <f t="shared" si="181"/>
        <v>1.2041712790381485</v>
      </c>
      <c r="O62" s="269">
        <f t="shared" si="162"/>
        <v>13.321478450901548</v>
      </c>
      <c r="P62" s="249">
        <f t="shared" ref="P62:AA62" si="182">P61/P50</f>
        <v>1.1607353904158673</v>
      </c>
      <c r="Q62" s="249">
        <f t="shared" si="182"/>
        <v>1.1186373509752314</v>
      </c>
      <c r="R62" s="249">
        <f t="shared" si="182"/>
        <v>1.0778389123294538</v>
      </c>
      <c r="S62" s="249">
        <f t="shared" si="182"/>
        <v>1.0383028748298213</v>
      </c>
      <c r="T62" s="249">
        <f t="shared" si="182"/>
        <v>0.99999305953994511</v>
      </c>
      <c r="U62" s="249">
        <f t="shared" si="182"/>
        <v>0.96287428094653615</v>
      </c>
      <c r="V62" s="249">
        <f t="shared" si="182"/>
        <v>0.92691232038758242</v>
      </c>
      <c r="W62" s="249">
        <f t="shared" si="182"/>
        <v>0.89207390017927846</v>
      </c>
      <c r="X62" s="249">
        <f t="shared" si="182"/>
        <v>0.85832665842353295</v>
      </c>
      <c r="Y62" s="249">
        <f t="shared" si="182"/>
        <v>0.8256391244783623</v>
      </c>
      <c r="Z62" s="249">
        <f t="shared" si="182"/>
        <v>0.79398069507393454</v>
      </c>
      <c r="AA62" s="249">
        <f t="shared" si="182"/>
        <v>0.76332161105746243</v>
      </c>
      <c r="AB62" s="250"/>
      <c r="AC62" s="249">
        <f t="shared" ref="AC62" si="183">AC61/AC50</f>
        <v>0.73363293475057623</v>
      </c>
      <c r="AD62" s="249">
        <f t="shared" ref="AD62" si="184">AD61/AD50</f>
        <v>0.70488652790325079</v>
      </c>
      <c r="AE62" s="249">
        <f t="shared" ref="AC62:AP62" si="185">AE61/AE50</f>
        <v>0.6770550302287508</v>
      </c>
      <c r="AF62" s="249">
        <f t="shared" si="185"/>
        <v>0.65011183850445886</v>
      </c>
      <c r="AG62" s="249">
        <f t="shared" si="185"/>
        <v>0.62403108622386694</v>
      </c>
      <c r="AH62" s="251">
        <f t="shared" si="185"/>
        <v>0.48601365347521919</v>
      </c>
      <c r="AI62" s="249">
        <f t="shared" si="185"/>
        <v>0.46533846180415223</v>
      </c>
      <c r="AJ62" s="249">
        <f t="shared" si="185"/>
        <v>0.44534070276725707</v>
      </c>
      <c r="AK62" s="249">
        <f t="shared" si="185"/>
        <v>0.42600039417781704</v>
      </c>
      <c r="AL62" s="249">
        <f t="shared" si="185"/>
        <v>0.40729811176563485</v>
      </c>
      <c r="AM62" s="249">
        <f t="shared" si="185"/>
        <v>0.38921497409729983</v>
      </c>
      <c r="AN62" s="249">
        <f t="shared" si="185"/>
        <v>0.37173262789572614</v>
      </c>
      <c r="AO62" s="252"/>
      <c r="AP62" s="249">
        <f t="shared" ref="AP62" si="186">AP61/AP50</f>
        <v>0.35483323374854642</v>
      </c>
      <c r="AQ62" s="249">
        <f t="shared" ref="AQ62" si="187">AQ61/AQ50</f>
        <v>0.33849945219518546</v>
      </c>
      <c r="AR62" s="249">
        <f t="shared" ref="AR62" si="188">AR61/AR50</f>
        <v>0.32271443018273832</v>
      </c>
      <c r="AS62" s="249">
        <f t="shared" ref="AS62" si="189">AS61/AS50</f>
        <v>0.30746178788099504</v>
      </c>
      <c r="AT62" s="249">
        <f t="shared" ref="AT62" si="190">AT61/AT50</f>
        <v>0.29272560584723162</v>
      </c>
      <c r="AU62" s="249">
        <f t="shared" ref="AU62" si="191">AU61/AU50</f>
        <v>0.27849041253161944</v>
      </c>
      <c r="AV62" s="249">
        <f t="shared" ref="AV62" si="192">AV61/AV50</f>
        <v>0.26474117211433923</v>
      </c>
      <c r="AW62" s="249">
        <f t="shared" ref="AW62" si="193">AW61/AW50</f>
        <v>0.25146327266572394</v>
      </c>
      <c r="AX62" s="249">
        <f t="shared" ref="AX62" si="194">AX61/AX50</f>
        <v>0.23864251462097327</v>
      </c>
      <c r="AY62" s="249">
        <f t="shared" ref="AY62" si="195">AY61/AY50</f>
        <v>0.22626509956120905</v>
      </c>
      <c r="AZ62" s="249">
        <f t="shared" ref="AZ62:BA62" si="196">AZ61/AZ50</f>
        <v>0.2143176192928426</v>
      </c>
      <c r="BA62" s="249">
        <f t="shared" si="196"/>
        <v>0.20278704521744625</v>
      </c>
      <c r="BB62" s="252"/>
    </row>
    <row r="63" spans="1:54" ht="16" thickBot="1" x14ac:dyDescent="0.4">
      <c r="A63" s="259" t="s">
        <v>163</v>
      </c>
      <c r="B63" s="239">
        <v>7.0000000000000007E-2</v>
      </c>
      <c r="C63" s="240">
        <f t="shared" ref="C63:N63" si="197">C$61*$B$63</f>
        <v>2542.115317482323</v>
      </c>
      <c r="D63" s="240">
        <f t="shared" si="197"/>
        <v>3751.7743792637707</v>
      </c>
      <c r="E63" s="240">
        <f t="shared" si="197"/>
        <v>4921.0744066978759</v>
      </c>
      <c r="F63" s="240">
        <f t="shared" si="197"/>
        <v>6050.4404028578174</v>
      </c>
      <c r="G63" s="240">
        <f t="shared" si="197"/>
        <v>7140.2933972876954</v>
      </c>
      <c r="H63" s="240">
        <f t="shared" si="197"/>
        <v>8191.0504808143041</v>
      </c>
      <c r="I63" s="240">
        <f t="shared" si="197"/>
        <v>9203.1248400662971</v>
      </c>
      <c r="J63" s="240">
        <f t="shared" si="197"/>
        <v>9046.1562592914597</v>
      </c>
      <c r="K63" s="240">
        <f t="shared" si="197"/>
        <v>8890.2870530837827</v>
      </c>
      <c r="L63" s="240">
        <f t="shared" si="197"/>
        <v>8735.5095216575392</v>
      </c>
      <c r="M63" s="240">
        <f t="shared" si="197"/>
        <v>8581.8160191546685</v>
      </c>
      <c r="N63" s="240">
        <f t="shared" si="197"/>
        <v>8429.1989532670486</v>
      </c>
      <c r="O63" s="24">
        <f t="shared" si="162"/>
        <v>85482.911030924588</v>
      </c>
      <c r="P63" s="240">
        <f t="shared" ref="P63:AD63" si="198">P$61*$B$63</f>
        <v>8277.6507848614929</v>
      </c>
      <c r="Q63" s="240">
        <f t="shared" si="198"/>
        <v>8127.1640276072867</v>
      </c>
      <c r="R63" s="240">
        <f t="shared" si="198"/>
        <v>7977.731247606398</v>
      </c>
      <c r="S63" s="240">
        <f t="shared" si="198"/>
        <v>7829.3450630262132</v>
      </c>
      <c r="T63" s="240">
        <f t="shared" si="198"/>
        <v>7681.998143734927</v>
      </c>
      <c r="U63" s="240">
        <f t="shared" si="198"/>
        <v>7535.6832109394136</v>
      </c>
      <c r="V63" s="240">
        <f t="shared" si="198"/>
        <v>7390.3930368256497</v>
      </c>
      <c r="W63" s="240">
        <f t="shared" si="198"/>
        <v>7246.1204442017097</v>
      </c>
      <c r="X63" s="240">
        <f t="shared" si="198"/>
        <v>7102.85830614319</v>
      </c>
      <c r="Y63" s="240">
        <f t="shared" si="198"/>
        <v>6960.5995456411347</v>
      </c>
      <c r="Z63" s="240">
        <f t="shared" si="198"/>
        <v>6819.3371352524591</v>
      </c>
      <c r="AA63" s="240">
        <f t="shared" si="198"/>
        <v>6679.0640967528134</v>
      </c>
      <c r="AB63" s="240"/>
      <c r="AC63" s="240">
        <f t="shared" si="198"/>
        <v>6539.7735007918263</v>
      </c>
      <c r="AD63" s="240">
        <f t="shared" si="198"/>
        <v>6401.4584665508273</v>
      </c>
      <c r="AE63" s="240">
        <f t="shared" ref="AC63:AP63" si="199">AE$61*$B$63</f>
        <v>6264.112161402948</v>
      </c>
      <c r="AF63" s="240">
        <f t="shared" si="199"/>
        <v>6127.7278005755688</v>
      </c>
      <c r="AG63" s="240">
        <f t="shared" si="199"/>
        <v>5992.2986468151967</v>
      </c>
      <c r="AH63" s="241">
        <f t="shared" si="199"/>
        <v>4754.5731063408384</v>
      </c>
      <c r="AI63" s="240">
        <f t="shared" si="199"/>
        <v>4637.7554438570833</v>
      </c>
      <c r="AJ63" s="240">
        <f t="shared" si="199"/>
        <v>4521.7559474451318</v>
      </c>
      <c r="AK63" s="240">
        <f t="shared" si="199"/>
        <v>4406.568886843781</v>
      </c>
      <c r="AL63" s="240">
        <f t="shared" si="199"/>
        <v>4292.188571925336</v>
      </c>
      <c r="AM63" s="240">
        <f t="shared" si="199"/>
        <v>4178.6093524145581</v>
      </c>
      <c r="AN63" s="240">
        <f t="shared" si="199"/>
        <v>4065.8256176095188</v>
      </c>
      <c r="AO63" s="182">
        <f>SUM(C63:AN63)</f>
        <v>322776.34460701444</v>
      </c>
      <c r="AP63" s="240">
        <f t="shared" ref="AP63:BA63" si="200">AP$61*$B$63</f>
        <v>3953.8317961044818</v>
      </c>
      <c r="AQ63" s="240">
        <f t="shared" si="200"/>
        <v>3842.6223555146189</v>
      </c>
      <c r="AR63" s="240">
        <f t="shared" si="200"/>
        <v>3732.191802202773</v>
      </c>
      <c r="AS63" s="240">
        <f t="shared" si="200"/>
        <v>3622.5346810080459</v>
      </c>
      <c r="AT63" s="240">
        <f t="shared" si="200"/>
        <v>3513.6455749763218</v>
      </c>
      <c r="AU63" s="240">
        <f t="shared" si="200"/>
        <v>3405.5191050926869</v>
      </c>
      <c r="AV63" s="240">
        <f t="shared" si="200"/>
        <v>3298.1499300157006</v>
      </c>
      <c r="AW63" s="240">
        <f t="shared" si="200"/>
        <v>3191.5327458135475</v>
      </c>
      <c r="AX63" s="240">
        <f t="shared" si="200"/>
        <v>3085.6622857020093</v>
      </c>
      <c r="AY63" s="240">
        <f t="shared" si="200"/>
        <v>2980.533319784322</v>
      </c>
      <c r="AZ63" s="240">
        <f t="shared" si="200"/>
        <v>2876.1406547927972</v>
      </c>
      <c r="BA63" s="240">
        <f t="shared" si="200"/>
        <v>2772.4791338322852</v>
      </c>
      <c r="BB63" s="182">
        <f>SUM(P63:BA63)</f>
        <v>514861.78053701925</v>
      </c>
    </row>
    <row r="64" spans="1:54" ht="16" thickBot="1" x14ac:dyDescent="0.4">
      <c r="A64" s="261" t="s">
        <v>164</v>
      </c>
      <c r="B64" s="177" t="s">
        <v>105</v>
      </c>
      <c r="C64" s="178">
        <f>$B$63*C62</f>
        <v>3.1191009148415116E-2</v>
      </c>
      <c r="D64" s="178">
        <f t="shared" ref="D64:N64" si="201">$B$63*D62</f>
        <v>4.5185080201008018E-2</v>
      </c>
      <c r="E64" s="178">
        <f t="shared" si="201"/>
        <v>5.8175810342684958E-2</v>
      </c>
      <c r="F64" s="178">
        <f t="shared" si="201"/>
        <v>7.0209141530861094E-2</v>
      </c>
      <c r="G64" s="178">
        <f t="shared" si="201"/>
        <v>8.1329274537980903E-2</v>
      </c>
      <c r="H64" s="178">
        <f t="shared" si="201"/>
        <v>9.1578728411165544E-2</v>
      </c>
      <c r="I64" s="178">
        <f t="shared" si="201"/>
        <v>0.1009983980295613</v>
      </c>
      <c r="J64" s="178">
        <f t="shared" si="201"/>
        <v>9.7446764282332815E-2</v>
      </c>
      <c r="K64" s="178">
        <f t="shared" si="201"/>
        <v>9.4003340536684799E-2</v>
      </c>
      <c r="L64" s="178">
        <f t="shared" si="201"/>
        <v>9.0665051017322029E-2</v>
      </c>
      <c r="M64" s="178">
        <f t="shared" si="201"/>
        <v>8.7428903992421605E-2</v>
      </c>
      <c r="N64" s="178">
        <f t="shared" si="201"/>
        <v>8.4291989532670406E-2</v>
      </c>
      <c r="O64" s="269">
        <f t="shared" si="162"/>
        <v>0.93250349156310852</v>
      </c>
      <c r="P64" s="178">
        <f t="shared" ref="P64:AA64" si="202">$B$63*P52</f>
        <v>0.24523985129251658</v>
      </c>
      <c r="Q64" s="178">
        <f t="shared" si="202"/>
        <v>0.23903571873525623</v>
      </c>
      <c r="R64" s="178">
        <f t="shared" si="202"/>
        <v>0.23298853970975344</v>
      </c>
      <c r="S64" s="178">
        <f t="shared" si="202"/>
        <v>0.22709434357049027</v>
      </c>
      <c r="T64" s="178">
        <f t="shared" si="202"/>
        <v>0.2213492601222263</v>
      </c>
      <c r="U64" s="178">
        <f t="shared" si="202"/>
        <v>0.21574951707878531</v>
      </c>
      <c r="V64" s="178">
        <f t="shared" si="202"/>
        <v>0.21029143758612925</v>
      </c>
      <c r="W64" s="178">
        <f t="shared" si="202"/>
        <v>0.20497143780809557</v>
      </c>
      <c r="X64" s="178">
        <f t="shared" si="202"/>
        <v>0.19978602457320968</v>
      </c>
      <c r="Y64" s="178">
        <f t="shared" si="202"/>
        <v>0.19473179308102931</v>
      </c>
      <c r="Z64" s="178">
        <f t="shared" si="202"/>
        <v>0.1898054246665147</v>
      </c>
      <c r="AA64" s="178">
        <f t="shared" si="202"/>
        <v>0.18500368462095598</v>
      </c>
      <c r="AB64" s="237"/>
      <c r="AC64" s="178">
        <f t="shared" ref="AC64:AD64" si="203">$B$63*AC52</f>
        <v>0.18032342006802679</v>
      </c>
      <c r="AD64" s="178">
        <f t="shared" si="203"/>
        <v>0.17576155789357062</v>
      </c>
      <c r="AE64" s="178">
        <f t="shared" ref="AC64:AN64" si="204">$B$63*AE52</f>
        <v>0.17131510272775979</v>
      </c>
      <c r="AF64" s="178">
        <f t="shared" si="204"/>
        <v>0.16698113497830153</v>
      </c>
      <c r="AG64" s="178">
        <f t="shared" si="204"/>
        <v>0.16275680891340161</v>
      </c>
      <c r="AH64" s="229">
        <f t="shared" si="204"/>
        <v>0.11934673381434699</v>
      </c>
      <c r="AI64" s="178">
        <f t="shared" si="204"/>
        <v>0.11632747347408082</v>
      </c>
      <c r="AJ64" s="178">
        <f t="shared" si="204"/>
        <v>0.11338459505656151</v>
      </c>
      <c r="AK64" s="178">
        <f t="shared" si="204"/>
        <v>0.11051616623483983</v>
      </c>
      <c r="AL64" s="178">
        <f t="shared" si="204"/>
        <v>0.10772030356640536</v>
      </c>
      <c r="AM64" s="178">
        <f t="shared" si="204"/>
        <v>0.10499517125649724</v>
      </c>
      <c r="AN64" s="178">
        <f t="shared" si="204"/>
        <v>0.10233897995270057</v>
      </c>
      <c r="AO64" s="262">
        <f>SUM(C64:AN64)</f>
        <v>6.0628214639076745</v>
      </c>
      <c r="AP64" s="178">
        <f t="shared" ref="AP64:AQ64" si="205">$B$63*AP52</f>
        <v>9.9749985570037891E-2</v>
      </c>
      <c r="AQ64" s="178">
        <f t="shared" si="205"/>
        <v>9.7226488145782983E-2</v>
      </c>
      <c r="AR64" s="178">
        <f t="shared" ref="AR64:AZ64" si="206">$B$63*AR52</f>
        <v>9.4766830723246667E-2</v>
      </c>
      <c r="AS64" s="178">
        <f t="shared" si="206"/>
        <v>9.2369398263800334E-2</v>
      </c>
      <c r="AT64" s="178">
        <f t="shared" si="206"/>
        <v>9.0032616586423406E-2</v>
      </c>
      <c r="AU64" s="178">
        <f t="shared" si="206"/>
        <v>8.7754951334078624E-2</v>
      </c>
      <c r="AV64" s="178">
        <f t="shared" si="206"/>
        <v>8.5534906966235821E-2</v>
      </c>
      <c r="AW64" s="178">
        <f t="shared" si="206"/>
        <v>8.337102577688342E-2</v>
      </c>
      <c r="AX64" s="178">
        <f t="shared" si="206"/>
        <v>8.1261886937382163E-2</v>
      </c>
      <c r="AY64" s="178">
        <f t="shared" si="206"/>
        <v>7.9206105563533302E-2</v>
      </c>
      <c r="AZ64" s="178">
        <f t="shared" si="206"/>
        <v>7.7202331806247915E-2</v>
      </c>
      <c r="BA64" s="178">
        <f t="shared" ref="BA64" si="207">$B$63*BA52</f>
        <v>7.5249249965220963E-2</v>
      </c>
      <c r="BB64" s="262">
        <f>SUM(P64:BA64)</f>
        <v>11.304361722328006</v>
      </c>
    </row>
    <row r="65" spans="1:54" ht="15.5" x14ac:dyDescent="0.35">
      <c r="A65" s="242" t="s">
        <v>165</v>
      </c>
      <c r="B65" s="243">
        <v>0.93</v>
      </c>
      <c r="C65" s="244">
        <f t="shared" ref="C65:I65" si="208">C61*$B$65</f>
        <v>33773.817789408007</v>
      </c>
      <c r="D65" s="244">
        <f t="shared" si="208"/>
        <v>49845.002467361519</v>
      </c>
      <c r="E65" s="244">
        <f t="shared" si="208"/>
        <v>65379.988546128916</v>
      </c>
      <c r="F65" s="244">
        <f t="shared" si="208"/>
        <v>80384.422495110994</v>
      </c>
      <c r="G65" s="244">
        <f t="shared" si="208"/>
        <v>94863.897992536513</v>
      </c>
      <c r="H65" s="244">
        <f t="shared" si="208"/>
        <v>108823.95638796146</v>
      </c>
      <c r="I65" s="244">
        <f t="shared" si="208"/>
        <v>122270.08716088081</v>
      </c>
      <c r="J65" s="244">
        <f t="shared" ref="J65:N65" si="209">J61*$B$65</f>
        <v>120184.64744487223</v>
      </c>
      <c r="K65" s="244">
        <f t="shared" si="209"/>
        <v>118113.81370525596</v>
      </c>
      <c r="L65" s="244">
        <f t="shared" si="209"/>
        <v>116057.48364487874</v>
      </c>
      <c r="M65" s="244">
        <f t="shared" si="209"/>
        <v>114015.55568305487</v>
      </c>
      <c r="N65" s="244">
        <f t="shared" si="209"/>
        <v>111987.92895054794</v>
      </c>
      <c r="O65" s="24">
        <f t="shared" si="162"/>
        <v>1135701.532267998</v>
      </c>
      <c r="P65" s="244">
        <f t="shared" ref="P65:AA65" si="210">P61*$B$65</f>
        <v>109974.50328458841</v>
      </c>
      <c r="Q65" s="244">
        <f t="shared" si="210"/>
        <v>107975.17922392537</v>
      </c>
      <c r="R65" s="244">
        <f t="shared" si="210"/>
        <v>105989.85800391357</v>
      </c>
      <c r="S65" s="244">
        <f t="shared" si="210"/>
        <v>104018.44155163396</v>
      </c>
      <c r="T65" s="244">
        <f t="shared" si="210"/>
        <v>102060.83248104974</v>
      </c>
      <c r="U65" s="244">
        <f t="shared" si="210"/>
        <v>100116.93408819506</v>
      </c>
      <c r="V65" s="244">
        <f t="shared" si="210"/>
        <v>98186.650346397917</v>
      </c>
      <c r="W65" s="244">
        <f t="shared" si="210"/>
        <v>96269.885901536996</v>
      </c>
      <c r="X65" s="244">
        <f t="shared" si="210"/>
        <v>94366.546067330943</v>
      </c>
      <c r="Y65" s="244">
        <f t="shared" si="210"/>
        <v>92476.536820660782</v>
      </c>
      <c r="Z65" s="244">
        <f t="shared" si="210"/>
        <v>90599.764796925519</v>
      </c>
      <c r="AA65" s="244">
        <f t="shared" si="210"/>
        <v>88736.137285430232</v>
      </c>
      <c r="AB65" s="244"/>
      <c r="AC65" s="244">
        <f t="shared" ref="AC65:AD65" si="211">AC61*$B$65</f>
        <v>86885.56222480569</v>
      </c>
      <c r="AD65" s="244">
        <f t="shared" si="211"/>
        <v>85047.948198460988</v>
      </c>
      <c r="AE65" s="244">
        <f t="shared" ref="AC65:AN65" si="212">AE61*$B$65</f>
        <v>83223.204430067737</v>
      </c>
      <c r="AF65" s="244">
        <f t="shared" si="212"/>
        <v>81411.240779075408</v>
      </c>
      <c r="AG65" s="244">
        <f t="shared" si="212"/>
        <v>79611.96773625903</v>
      </c>
      <c r="AH65" s="245">
        <f t="shared" si="212"/>
        <v>63167.899841385421</v>
      </c>
      <c r="AI65" s="244">
        <f t="shared" si="212"/>
        <v>61615.893754101242</v>
      </c>
      <c r="AJ65" s="244">
        <f t="shared" si="212"/>
        <v>60074.757587485321</v>
      </c>
      <c r="AK65" s="244">
        <f t="shared" si="212"/>
        <v>58544.415210924511</v>
      </c>
      <c r="AL65" s="244">
        <f t="shared" si="212"/>
        <v>57024.791027008032</v>
      </c>
      <c r="AM65" s="244">
        <f t="shared" si="212"/>
        <v>55515.809967793408</v>
      </c>
      <c r="AN65" s="244">
        <f t="shared" si="212"/>
        <v>54017.397491097887</v>
      </c>
      <c r="AO65" s="246"/>
      <c r="AP65" s="244">
        <f t="shared" ref="AP65:AQ65" si="213">AP61*$B$65</f>
        <v>52529.47957681668</v>
      </c>
      <c r="AQ65" s="244">
        <f t="shared" si="213"/>
        <v>51051.982723265653</v>
      </c>
      <c r="AR65" s="244">
        <f t="shared" ref="AR65:AZ65" si="214">AR61*$B$65</f>
        <v>49584.83394355113</v>
      </c>
      <c r="AS65" s="244">
        <f t="shared" si="214"/>
        <v>48127.960761964037</v>
      </c>
      <c r="AT65" s="244">
        <f t="shared" si="214"/>
        <v>46681.291210399701</v>
      </c>
      <c r="AU65" s="244">
        <f t="shared" si="214"/>
        <v>45244.753824802836</v>
      </c>
      <c r="AV65" s="244">
        <f t="shared" si="214"/>
        <v>43818.277641637163</v>
      </c>
      <c r="AW65" s="244">
        <f t="shared" si="214"/>
        <v>42401.792194379988</v>
      </c>
      <c r="AX65" s="244">
        <f t="shared" si="214"/>
        <v>40995.227510040982</v>
      </c>
      <c r="AY65" s="244">
        <f t="shared" si="214"/>
        <v>39598.514105705988</v>
      </c>
      <c r="AZ65" s="244">
        <f t="shared" si="214"/>
        <v>38211.582985104302</v>
      </c>
      <c r="BA65" s="244">
        <f t="shared" ref="BA65" si="215">BA61*$B$65</f>
        <v>36834.36563520036</v>
      </c>
      <c r="BB65" s="246"/>
    </row>
    <row r="66" spans="1:54" ht="16" thickBot="1" x14ac:dyDescent="0.4">
      <c r="A66" s="247" t="s">
        <v>166</v>
      </c>
      <c r="B66" s="248" t="s">
        <v>105</v>
      </c>
      <c r="C66" s="249">
        <f>$B$65*C62</f>
        <v>0.41439483582894365</v>
      </c>
      <c r="D66" s="249">
        <f t="shared" ref="D66:N66" si="216">$B$65*D62</f>
        <v>0.60031606552767791</v>
      </c>
      <c r="E66" s="249">
        <f t="shared" si="216"/>
        <v>0.77290719455281442</v>
      </c>
      <c r="F66" s="249">
        <f t="shared" si="216"/>
        <v>0.93277859462429746</v>
      </c>
      <c r="G66" s="249">
        <f t="shared" si="216"/>
        <v>1.080517504576032</v>
      </c>
      <c r="H66" s="249">
        <f t="shared" si="216"/>
        <v>1.2166888203197708</v>
      </c>
      <c r="I66" s="249">
        <f t="shared" si="216"/>
        <v>1.3418358595356001</v>
      </c>
      <c r="J66" s="249">
        <f t="shared" si="216"/>
        <v>1.2946498683224217</v>
      </c>
      <c r="K66" s="249">
        <f t="shared" si="216"/>
        <v>1.2489015242730981</v>
      </c>
      <c r="L66" s="249">
        <f t="shared" si="216"/>
        <v>1.2045499635158499</v>
      </c>
      <c r="M66" s="249">
        <f t="shared" si="216"/>
        <v>1.1615554387564584</v>
      </c>
      <c r="N66" s="249">
        <f t="shared" si="216"/>
        <v>1.1198792895054781</v>
      </c>
      <c r="O66" s="269">
        <f t="shared" si="162"/>
        <v>12.388974959338443</v>
      </c>
      <c r="P66" s="249">
        <f t="shared" ref="P66:AA66" si="217">$B$65*P62</f>
        <v>1.0794839130867566</v>
      </c>
      <c r="Q66" s="249">
        <f t="shared" si="217"/>
        <v>1.0403327364069652</v>
      </c>
      <c r="R66" s="249">
        <f t="shared" si="217"/>
        <v>1.0023901884663922</v>
      </c>
      <c r="S66" s="249">
        <f t="shared" si="217"/>
        <v>0.9656216735917339</v>
      </c>
      <c r="T66" s="249">
        <f t="shared" si="217"/>
        <v>0.92999354537214896</v>
      </c>
      <c r="U66" s="249">
        <f t="shared" si="217"/>
        <v>0.89547308128027869</v>
      </c>
      <c r="V66" s="249">
        <f t="shared" si="217"/>
        <v>0.86202845796045169</v>
      </c>
      <c r="W66" s="249">
        <f t="shared" si="217"/>
        <v>0.82962872716672897</v>
      </c>
      <c r="X66" s="249">
        <f t="shared" si="217"/>
        <v>0.79824379233388565</v>
      </c>
      <c r="Y66" s="249">
        <f t="shared" si="217"/>
        <v>0.76784438576487701</v>
      </c>
      <c r="Z66" s="249">
        <f t="shared" si="217"/>
        <v>0.73840204641875917</v>
      </c>
      <c r="AA66" s="249">
        <f t="shared" si="217"/>
        <v>0.70988909828344016</v>
      </c>
      <c r="AB66" s="250"/>
      <c r="AC66" s="249">
        <f t="shared" ref="AC66:AD66" si="218">$B$65*AC62</f>
        <v>0.68227862931803596</v>
      </c>
      <c r="AD66" s="249">
        <f t="shared" si="218"/>
        <v>0.65554447095002322</v>
      </c>
      <c r="AE66" s="249">
        <f t="shared" ref="AC66:AN66" si="219">$B$65*AE62</f>
        <v>0.62966117811273825</v>
      </c>
      <c r="AF66" s="249">
        <f t="shared" si="219"/>
        <v>0.60460400980914675</v>
      </c>
      <c r="AG66" s="249">
        <f t="shared" si="219"/>
        <v>0.58034891018819623</v>
      </c>
      <c r="AH66" s="251">
        <f t="shared" si="219"/>
        <v>0.45199269773195389</v>
      </c>
      <c r="AI66" s="249">
        <f t="shared" si="219"/>
        <v>0.43276476947786158</v>
      </c>
      <c r="AJ66" s="249">
        <f t="shared" si="219"/>
        <v>0.4141668535735491</v>
      </c>
      <c r="AK66" s="249">
        <f t="shared" si="219"/>
        <v>0.39618036658536987</v>
      </c>
      <c r="AL66" s="249">
        <f t="shared" si="219"/>
        <v>0.37878724394204044</v>
      </c>
      <c r="AM66" s="249">
        <f t="shared" si="219"/>
        <v>0.36196992591048888</v>
      </c>
      <c r="AN66" s="249">
        <f t="shared" si="219"/>
        <v>0.34571134394302533</v>
      </c>
      <c r="AO66" s="257"/>
      <c r="AP66" s="249">
        <f t="shared" ref="AP66:AQ66" si="220">$B$65*AP62</f>
        <v>0.32999490738614817</v>
      </c>
      <c r="AQ66" s="249">
        <f t="shared" si="220"/>
        <v>0.31480449054152249</v>
      </c>
      <c r="AR66" s="249">
        <f t="shared" ref="AR66:AZ66" si="221">$B$65*AR62</f>
        <v>0.30012442006994666</v>
      </c>
      <c r="AS66" s="249">
        <f t="shared" si="221"/>
        <v>0.28593946272932541</v>
      </c>
      <c r="AT66" s="249">
        <f t="shared" si="221"/>
        <v>0.27223481343792544</v>
      </c>
      <c r="AU66" s="249">
        <f t="shared" si="221"/>
        <v>0.25899608365440607</v>
      </c>
      <c r="AV66" s="249">
        <f t="shared" si="221"/>
        <v>0.24620929006633549</v>
      </c>
      <c r="AW66" s="249">
        <f t="shared" si="221"/>
        <v>0.23386084357912326</v>
      </c>
      <c r="AX66" s="249">
        <f t="shared" si="221"/>
        <v>0.22193753859750515</v>
      </c>
      <c r="AY66" s="249">
        <f t="shared" si="221"/>
        <v>0.21042654259192442</v>
      </c>
      <c r="AZ66" s="249">
        <f t="shared" si="221"/>
        <v>0.19931538594234363</v>
      </c>
      <c r="BA66" s="249">
        <f t="shared" ref="BA66" si="222">$B$65*BA62</f>
        <v>0.18859195205222504</v>
      </c>
      <c r="BB66" s="257"/>
    </row>
    <row r="67" spans="1:54" ht="16" thickBot="1" x14ac:dyDescent="0.4">
      <c r="A67" s="253" t="s">
        <v>106</v>
      </c>
      <c r="B67" s="254"/>
      <c r="C67" s="255">
        <f>C65</f>
        <v>33773.817789408007</v>
      </c>
      <c r="D67" s="255">
        <f t="shared" ref="D67:N67" si="223">D65</f>
        <v>49845.002467361519</v>
      </c>
      <c r="E67" s="255">
        <f t="shared" si="223"/>
        <v>65379.988546128916</v>
      </c>
      <c r="F67" s="255">
        <f t="shared" si="223"/>
        <v>80384.422495110994</v>
      </c>
      <c r="G67" s="255">
        <f t="shared" si="223"/>
        <v>94863.897992536513</v>
      </c>
      <c r="H67" s="255">
        <f t="shared" si="223"/>
        <v>108823.95638796146</v>
      </c>
      <c r="I67" s="255">
        <f t="shared" si="223"/>
        <v>122270.08716088081</v>
      </c>
      <c r="J67" s="255">
        <f t="shared" si="223"/>
        <v>120184.64744487223</v>
      </c>
      <c r="K67" s="255">
        <f t="shared" si="223"/>
        <v>118113.81370525596</v>
      </c>
      <c r="L67" s="255">
        <f t="shared" si="223"/>
        <v>116057.48364487874</v>
      </c>
      <c r="M67" s="255">
        <f t="shared" si="223"/>
        <v>114015.55568305487</v>
      </c>
      <c r="N67" s="255">
        <f t="shared" si="223"/>
        <v>111987.92895054794</v>
      </c>
      <c r="O67" s="24">
        <f t="shared" si="162"/>
        <v>1135700.6022679978</v>
      </c>
      <c r="P67" s="255">
        <f t="shared" ref="P67:AA67" si="224">P65</f>
        <v>109974.50328458841</v>
      </c>
      <c r="Q67" s="255">
        <f t="shared" si="224"/>
        <v>107975.17922392537</v>
      </c>
      <c r="R67" s="255">
        <f t="shared" si="224"/>
        <v>105989.85800391357</v>
      </c>
      <c r="S67" s="255">
        <f t="shared" si="224"/>
        <v>104018.44155163396</v>
      </c>
      <c r="T67" s="255">
        <f t="shared" si="224"/>
        <v>102060.83248104974</v>
      </c>
      <c r="U67" s="255">
        <f t="shared" si="224"/>
        <v>100116.93408819506</v>
      </c>
      <c r="V67" s="255">
        <f t="shared" si="224"/>
        <v>98186.650346397917</v>
      </c>
      <c r="W67" s="255">
        <f t="shared" si="224"/>
        <v>96269.885901536996</v>
      </c>
      <c r="X67" s="255">
        <f t="shared" si="224"/>
        <v>94366.546067330943</v>
      </c>
      <c r="Y67" s="255">
        <f t="shared" si="224"/>
        <v>92476.536820660782</v>
      </c>
      <c r="Z67" s="255">
        <f t="shared" si="224"/>
        <v>90599.764796925519</v>
      </c>
      <c r="AA67" s="255">
        <f t="shared" si="224"/>
        <v>88736.137285430232</v>
      </c>
      <c r="AB67" s="256">
        <f t="shared" ref="AB67:AO67" si="225">AB61</f>
        <v>0</v>
      </c>
      <c r="AC67" s="255">
        <f t="shared" ref="AC67:AD67" si="226">AC65</f>
        <v>86885.56222480569</v>
      </c>
      <c r="AD67" s="255">
        <f t="shared" si="226"/>
        <v>85047.948198460988</v>
      </c>
      <c r="AE67" s="255">
        <f t="shared" ref="AC67:AN67" si="227">AE65</f>
        <v>83223.204430067737</v>
      </c>
      <c r="AF67" s="255">
        <f t="shared" si="227"/>
        <v>81411.240779075408</v>
      </c>
      <c r="AG67" s="255">
        <f t="shared" si="227"/>
        <v>79611.96773625903</v>
      </c>
      <c r="AH67" s="241">
        <f t="shared" si="227"/>
        <v>63167.899841385421</v>
      </c>
      <c r="AI67" s="255">
        <f t="shared" si="227"/>
        <v>61615.893754101242</v>
      </c>
      <c r="AJ67" s="255">
        <f t="shared" si="227"/>
        <v>60074.757587485321</v>
      </c>
      <c r="AK67" s="255">
        <f t="shared" si="227"/>
        <v>58544.415210924511</v>
      </c>
      <c r="AL67" s="255">
        <f t="shared" si="227"/>
        <v>57024.791027008032</v>
      </c>
      <c r="AM67" s="255">
        <f t="shared" si="227"/>
        <v>55515.809967793408</v>
      </c>
      <c r="AN67" s="255">
        <f t="shared" si="227"/>
        <v>54017.397491097887</v>
      </c>
      <c r="AO67" s="256">
        <f t="shared" si="225"/>
        <v>0</v>
      </c>
      <c r="AP67" s="255">
        <f t="shared" ref="AP67:AQ67" si="228">AP65</f>
        <v>52529.47957681668</v>
      </c>
      <c r="AQ67" s="255">
        <f t="shared" si="228"/>
        <v>51051.982723265653</v>
      </c>
      <c r="AR67" s="255">
        <f t="shared" ref="AR67:AZ67" si="229">AR65</f>
        <v>49584.83394355113</v>
      </c>
      <c r="AS67" s="255">
        <f t="shared" si="229"/>
        <v>48127.960761964037</v>
      </c>
      <c r="AT67" s="255">
        <f t="shared" si="229"/>
        <v>46681.291210399701</v>
      </c>
      <c r="AU67" s="255">
        <f t="shared" si="229"/>
        <v>45244.753824802836</v>
      </c>
      <c r="AV67" s="255">
        <f t="shared" si="229"/>
        <v>43818.277641637163</v>
      </c>
      <c r="AW67" s="255">
        <f t="shared" si="229"/>
        <v>42401.792194379988</v>
      </c>
      <c r="AX67" s="255">
        <f t="shared" si="229"/>
        <v>40995.227510040982</v>
      </c>
      <c r="AY67" s="255">
        <f t="shared" si="229"/>
        <v>39598.514105705988</v>
      </c>
      <c r="AZ67" s="255">
        <f t="shared" si="229"/>
        <v>38211.582985104302</v>
      </c>
      <c r="BA67" s="255">
        <f t="shared" ref="BA67" si="230">BA65</f>
        <v>36834.36563520036</v>
      </c>
      <c r="BB67" s="256">
        <f t="shared" ref="BB67" si="231">BB61</f>
        <v>0</v>
      </c>
    </row>
    <row r="68" spans="1:54" ht="16" thickBot="1" x14ac:dyDescent="0.4">
      <c r="A68" s="179" t="s">
        <v>107</v>
      </c>
      <c r="B68" s="180"/>
      <c r="C68" s="194">
        <f t="shared" ref="C68:N68" si="232">C66+B68</f>
        <v>0.41439483582894365</v>
      </c>
      <c r="D68" s="194">
        <f t="shared" si="232"/>
        <v>1.0147109013566216</v>
      </c>
      <c r="E68" s="194">
        <f t="shared" si="232"/>
        <v>1.7876180959094361</v>
      </c>
      <c r="F68" s="194">
        <f t="shared" si="232"/>
        <v>2.7203966905337333</v>
      </c>
      <c r="G68" s="194">
        <f t="shared" si="232"/>
        <v>3.8009141951097654</v>
      </c>
      <c r="H68" s="194">
        <f t="shared" si="232"/>
        <v>5.0176030154295361</v>
      </c>
      <c r="I68" s="194">
        <f t="shared" si="232"/>
        <v>6.3594388749651358</v>
      </c>
      <c r="J68" s="194">
        <f t="shared" si="232"/>
        <v>7.6540887432875575</v>
      </c>
      <c r="K68" s="194">
        <f t="shared" si="232"/>
        <v>8.9029902675606554</v>
      </c>
      <c r="L68" s="194">
        <f t="shared" si="232"/>
        <v>10.107540231076506</v>
      </c>
      <c r="M68" s="194">
        <f t="shared" si="232"/>
        <v>11.269095669832964</v>
      </c>
      <c r="N68" s="194">
        <f t="shared" si="232"/>
        <v>12.388974959338443</v>
      </c>
      <c r="O68" s="271"/>
      <c r="P68" s="194">
        <f>P66+N68</f>
        <v>13.468458872425199</v>
      </c>
      <c r="Q68" s="194">
        <f t="shared" ref="Q68:AA68" si="233">Q66+P68</f>
        <v>14.508791608832164</v>
      </c>
      <c r="R68" s="194">
        <f t="shared" si="233"/>
        <v>15.511181797298557</v>
      </c>
      <c r="S68" s="194">
        <f t="shared" si="233"/>
        <v>16.476803470890289</v>
      </c>
      <c r="T68" s="194">
        <f t="shared" si="233"/>
        <v>17.406797016262438</v>
      </c>
      <c r="U68" s="194">
        <f t="shared" si="233"/>
        <v>18.302270097542717</v>
      </c>
      <c r="V68" s="194">
        <f t="shared" si="233"/>
        <v>19.164298555503169</v>
      </c>
      <c r="W68" s="194">
        <f t="shared" si="233"/>
        <v>19.993927282669897</v>
      </c>
      <c r="X68" s="194">
        <f t="shared" si="233"/>
        <v>20.792171075003782</v>
      </c>
      <c r="Y68" s="194">
        <f t="shared" si="233"/>
        <v>21.56001546076866</v>
      </c>
      <c r="Z68" s="194">
        <f>Z66+Y68</f>
        <v>22.29841750718742</v>
      </c>
      <c r="AA68" s="194">
        <f t="shared" si="233"/>
        <v>23.00830660547086</v>
      </c>
      <c r="AB68" s="182"/>
      <c r="AC68" s="194">
        <f>AC66+AA68</f>
        <v>23.690585234788895</v>
      </c>
      <c r="AD68" s="194">
        <f t="shared" ref="AD68" si="234">AD66+AC68</f>
        <v>24.346129705738917</v>
      </c>
      <c r="AE68" s="194">
        <f t="shared" ref="AD68:AN68" si="235">AE66+AD68</f>
        <v>24.975790883851655</v>
      </c>
      <c r="AF68" s="194">
        <f t="shared" si="235"/>
        <v>25.580394893660802</v>
      </c>
      <c r="AG68" s="194">
        <f t="shared" si="235"/>
        <v>26.160743803848998</v>
      </c>
      <c r="AH68" s="230">
        <f t="shared" si="235"/>
        <v>26.612736501580951</v>
      </c>
      <c r="AI68" s="194">
        <f t="shared" si="235"/>
        <v>27.045501271058811</v>
      </c>
      <c r="AJ68" s="194">
        <f t="shared" si="235"/>
        <v>27.459668124632358</v>
      </c>
      <c r="AK68" s="194">
        <f t="shared" si="235"/>
        <v>27.855848491217728</v>
      </c>
      <c r="AL68" s="194">
        <f t="shared" si="235"/>
        <v>28.234635735159767</v>
      </c>
      <c r="AM68" s="194">
        <f t="shared" si="235"/>
        <v>28.596605661070257</v>
      </c>
      <c r="AN68" s="194">
        <f t="shared" si="235"/>
        <v>28.942317005013283</v>
      </c>
      <c r="AO68" s="182"/>
      <c r="AP68" s="194">
        <f>AP66+AN68</f>
        <v>29.272311912399431</v>
      </c>
      <c r="AQ68" s="194">
        <f t="shared" ref="AQ68" si="236">AQ66+AP68</f>
        <v>29.587116402940953</v>
      </c>
      <c r="AR68" s="194">
        <f t="shared" ref="AR68" si="237">AR66+AQ68</f>
        <v>29.887240823010899</v>
      </c>
      <c r="AS68" s="194">
        <f t="shared" ref="AS68" si="238">AS66+AR68</f>
        <v>30.173180285740223</v>
      </c>
      <c r="AT68" s="194">
        <f t="shared" ref="AT68" si="239">AT66+AS68</f>
        <v>30.445415099178149</v>
      </c>
      <c r="AU68" s="194">
        <f t="shared" ref="AU68" si="240">AU66+AT68</f>
        <v>30.704411182832555</v>
      </c>
      <c r="AV68" s="194">
        <f t="shared" ref="AV68" si="241">AV66+AU68</f>
        <v>30.950620472898891</v>
      </c>
      <c r="AW68" s="194">
        <f t="shared" ref="AW68" si="242">AW66+AV68</f>
        <v>31.184481316478013</v>
      </c>
      <c r="AX68" s="194">
        <f t="shared" ref="AX68" si="243">AX66+AW68</f>
        <v>31.406418855075518</v>
      </c>
      <c r="AY68" s="194">
        <f t="shared" ref="AY68" si="244">AY66+AX68</f>
        <v>31.616845397667444</v>
      </c>
      <c r="AZ68" s="194">
        <f t="shared" ref="AZ68:BA68" si="245">AZ66+AY68</f>
        <v>31.816160783609789</v>
      </c>
      <c r="BA68" s="194">
        <f t="shared" si="245"/>
        <v>32.004752735662017</v>
      </c>
      <c r="BB68" s="182"/>
    </row>
    <row r="69" spans="1:54" ht="15" thickBot="1" x14ac:dyDescent="0.4">
      <c r="B69" s="164"/>
      <c r="D69" s="14"/>
      <c r="G69" s="14"/>
      <c r="H69" s="14"/>
      <c r="Q69" s="14"/>
      <c r="T69" s="14"/>
      <c r="U69" s="14"/>
      <c r="AD69" s="14"/>
      <c r="AG69" s="14"/>
      <c r="AH69" s="231"/>
      <c r="AQ69" s="14"/>
      <c r="AR69" s="14"/>
      <c r="AS69" s="14"/>
      <c r="AT69" s="14"/>
      <c r="AU69" s="14"/>
      <c r="AV69" s="14"/>
      <c r="AW69" s="14"/>
      <c r="AX69" s="14"/>
      <c r="AY69" s="14"/>
      <c r="AZ69" s="14"/>
      <c r="BA69" s="14"/>
    </row>
    <row r="70" spans="1:54" ht="16" thickBot="1" x14ac:dyDescent="0.4">
      <c r="A70" s="46" t="s">
        <v>171</v>
      </c>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220"/>
      <c r="AI70" s="47"/>
      <c r="AJ70" s="47"/>
      <c r="AK70" s="47"/>
      <c r="AL70" s="47"/>
      <c r="AM70" s="47"/>
      <c r="AN70" s="47"/>
      <c r="AO70" s="47"/>
      <c r="AP70" s="47"/>
      <c r="AQ70" s="47"/>
      <c r="AR70" s="47"/>
      <c r="AS70" s="47"/>
      <c r="AT70" s="47"/>
      <c r="AU70" s="47"/>
      <c r="AV70" s="47"/>
      <c r="AW70" s="47"/>
      <c r="AX70" s="47"/>
      <c r="AY70" s="47"/>
      <c r="AZ70" s="47"/>
      <c r="BA70" s="47"/>
      <c r="BB70" s="47"/>
    </row>
    <row r="71" spans="1:54" s="15" customFormat="1" ht="15.5" x14ac:dyDescent="0.35">
      <c r="A71" s="283" t="s">
        <v>173</v>
      </c>
      <c r="B71" s="276"/>
      <c r="C71" s="205">
        <f t="shared" ref="C71:N71" si="246">C60+B71</f>
        <v>0.16676309887891139</v>
      </c>
      <c r="D71" s="205">
        <f t="shared" si="246"/>
        <v>0.41057953198887287</v>
      </c>
      <c r="E71" s="205">
        <f t="shared" si="246"/>
        <v>0.72744394599413775</v>
      </c>
      <c r="F71" s="205">
        <f t="shared" si="246"/>
        <v>1.1135043300639715</v>
      </c>
      <c r="G71" s="205">
        <f t="shared" si="246"/>
        <v>1.5650568207133135</v>
      </c>
      <c r="H71" s="205">
        <f t="shared" si="246"/>
        <v>2.0785406713608228</v>
      </c>
      <c r="I71" s="205">
        <f t="shared" si="246"/>
        <v>2.6505333815950949</v>
      </c>
      <c r="J71" s="205">
        <f t="shared" si="246"/>
        <v>3.2080556924331152</v>
      </c>
      <c r="K71" s="205">
        <f t="shared" si="246"/>
        <v>3.7514736792722458</v>
      </c>
      <c r="L71" s="205">
        <f t="shared" si="246"/>
        <v>4.2811441564526458</v>
      </c>
      <c r="M71" s="205">
        <f t="shared" si="246"/>
        <v>4.797414911545566</v>
      </c>
      <c r="N71" s="205">
        <f t="shared" si="246"/>
        <v>5.3006249337145661</v>
      </c>
      <c r="O71" s="176"/>
      <c r="P71" s="205">
        <f>P60+N71</f>
        <v>5.7911046362995995</v>
      </c>
      <c r="Q71" s="205">
        <f t="shared" ref="Q71:AA71" si="247">Q60+P71</f>
        <v>6.2691760737701117</v>
      </c>
      <c r="R71" s="205">
        <f t="shared" si="247"/>
        <v>6.7351531531896187</v>
      </c>
      <c r="S71" s="205">
        <f t="shared" si="247"/>
        <v>7.1893418403305995</v>
      </c>
      <c r="T71" s="205">
        <f t="shared" si="247"/>
        <v>7.6320403605750524</v>
      </c>
      <c r="U71" s="205">
        <f t="shared" si="247"/>
        <v>8.0635393947326222</v>
      </c>
      <c r="V71" s="205">
        <f t="shared" si="247"/>
        <v>8.4841222699048799</v>
      </c>
      <c r="W71" s="205">
        <f t="shared" si="247"/>
        <v>8.894065145521072</v>
      </c>
      <c r="X71" s="205">
        <f t="shared" si="247"/>
        <v>9.2936371946674914</v>
      </c>
      <c r="Y71" s="205">
        <f t="shared" si="247"/>
        <v>9.6831007808295499</v>
      </c>
      <c r="Z71" s="205">
        <f>Z60+Y71</f>
        <v>10.06271163016258</v>
      </c>
      <c r="AA71" s="205">
        <f t="shared" si="247"/>
        <v>10.432718999404493</v>
      </c>
      <c r="AB71" s="176"/>
      <c r="AC71" s="205">
        <f>AC60+AA71</f>
        <v>10.793365839540547</v>
      </c>
      <c r="AD71" s="205">
        <f t="shared" ref="AD71" si="248">AD60+AC71</f>
        <v>11.144888955327689</v>
      </c>
      <c r="AE71" s="205">
        <f t="shared" ref="AD71:AN71" si="249">AE60+AD71</f>
        <v>11.487519160783208</v>
      </c>
      <c r="AF71" s="205">
        <f t="shared" si="249"/>
        <v>11.82148143073981</v>
      </c>
      <c r="AG71" s="205">
        <f t="shared" si="249"/>
        <v>12.146995048566614</v>
      </c>
      <c r="AH71" s="228">
        <f t="shared" si="249"/>
        <v>12.146995048566614</v>
      </c>
      <c r="AI71" s="205"/>
      <c r="AJ71" s="205"/>
      <c r="AK71" s="205"/>
      <c r="AL71" s="205"/>
      <c r="AM71" s="205"/>
      <c r="AN71" s="205"/>
      <c r="AO71" s="176"/>
      <c r="AP71" s="205"/>
      <c r="AQ71" s="205"/>
      <c r="AR71" s="205"/>
      <c r="AS71" s="205"/>
      <c r="AT71" s="205"/>
      <c r="AU71" s="205"/>
      <c r="AV71" s="205"/>
      <c r="AW71" s="205"/>
      <c r="AX71" s="205"/>
      <c r="AY71" s="205"/>
      <c r="AZ71" s="205"/>
      <c r="BA71" s="205"/>
      <c r="BB71" s="176"/>
    </row>
    <row r="72" spans="1:54" ht="15.5" x14ac:dyDescent="0.35">
      <c r="A72" s="284" t="s">
        <v>172</v>
      </c>
      <c r="B72" s="277"/>
      <c r="C72" s="129">
        <f t="shared" ref="C72:N72" si="250">C71*C50</f>
        <v>13591.449575540288</v>
      </c>
      <c r="D72" s="129">
        <f t="shared" si="250"/>
        <v>34090.938024529583</v>
      </c>
      <c r="E72" s="129">
        <f t="shared" si="250"/>
        <v>61534.265940640886</v>
      </c>
      <c r="F72" s="129">
        <f t="shared" si="250"/>
        <v>95958.894247621341</v>
      </c>
      <c r="G72" s="129">
        <f t="shared" si="250"/>
        <v>137403.96612170219</v>
      </c>
      <c r="H72" s="129">
        <f t="shared" si="250"/>
        <v>185910.32940643409</v>
      </c>
      <c r="I72" s="129">
        <f t="shared" si="250"/>
        <v>241520.55952850933</v>
      </c>
      <c r="J72" s="129">
        <f t="shared" si="250"/>
        <v>297809.50959210942</v>
      </c>
      <c r="K72" s="129">
        <f t="shared" si="250"/>
        <v>354792.47535680013</v>
      </c>
      <c r="L72" s="129">
        <f t="shared" si="250"/>
        <v>412485.02176583506</v>
      </c>
      <c r="M72" s="129">
        <f t="shared" si="250"/>
        <v>470902.98812394933</v>
      </c>
      <c r="N72" s="129">
        <f t="shared" si="250"/>
        <v>530062.49337145721</v>
      </c>
      <c r="O72" s="42"/>
      <c r="P72" s="129">
        <f t="shared" ref="P72:AA72" si="251">P71*P50</f>
        <v>589979.94145646971</v>
      </c>
      <c r="Q72" s="129">
        <f t="shared" si="251"/>
        <v>650672.026807077</v>
      </c>
      <c r="R72" s="129">
        <f t="shared" si="251"/>
        <v>712155.73990538169</v>
      </c>
      <c r="S72" s="129">
        <f t="shared" si="251"/>
        <v>774448.37296529661</v>
      </c>
      <c r="T72" s="129">
        <f t="shared" si="251"/>
        <v>837567.52571606392</v>
      </c>
      <c r="U72" s="129">
        <f t="shared" si="251"/>
        <v>901531.11129348422</v>
      </c>
      <c r="V72" s="129">
        <f t="shared" si="251"/>
        <v>966357.36224088329</v>
      </c>
      <c r="W72" s="129">
        <f t="shared" si="251"/>
        <v>1032064.8366218826</v>
      </c>
      <c r="X72" s="129">
        <f t="shared" si="251"/>
        <v>1098672.4242470765</v>
      </c>
      <c r="Y72" s="129">
        <f t="shared" si="251"/>
        <v>1166199.3530167628</v>
      </c>
      <c r="Z72" s="129">
        <f t="shared" si="251"/>
        <v>1234665.1953819063</v>
      </c>
      <c r="AA72" s="129">
        <f t="shared" si="251"/>
        <v>1304089.8749255647</v>
      </c>
      <c r="AB72" s="42"/>
      <c r="AC72" s="129">
        <f t="shared" ref="AC72" si="252">AC71*AC50</f>
        <v>1374493.6730670396</v>
      </c>
      <c r="AD72" s="129">
        <f t="shared" ref="AD72" si="253">AD71*AD50</f>
        <v>1445897.2358910649</v>
      </c>
      <c r="AE72" s="129">
        <f t="shared" ref="AC72:AH72" si="254">AE71*AE50</f>
        <v>1518321.5811043826</v>
      </c>
      <c r="AF72" s="129">
        <f t="shared" si="254"/>
        <v>1591788.1051221038</v>
      </c>
      <c r="AG72" s="129">
        <f t="shared" si="254"/>
        <v>1666318.5902862961</v>
      </c>
      <c r="AH72" s="226">
        <f t="shared" si="254"/>
        <v>1697594.1656842742</v>
      </c>
      <c r="AI72" s="129"/>
      <c r="AJ72" s="129"/>
      <c r="AK72" s="129"/>
      <c r="AL72" s="129"/>
      <c r="AM72" s="129"/>
      <c r="AN72" s="129"/>
      <c r="AO72" s="42"/>
      <c r="AP72" s="129"/>
      <c r="AQ72" s="129"/>
      <c r="AR72" s="129"/>
      <c r="AS72" s="129"/>
      <c r="AT72" s="129"/>
      <c r="AU72" s="129"/>
      <c r="AV72" s="129"/>
      <c r="AW72" s="129"/>
      <c r="AX72" s="129"/>
      <c r="AY72" s="129"/>
      <c r="AZ72" s="129"/>
      <c r="BA72" s="129"/>
      <c r="BB72" s="42"/>
    </row>
    <row r="73" spans="1:54" ht="15" thickBot="1" x14ac:dyDescent="0.4"/>
    <row r="74" spans="1:54" ht="16" thickBot="1" x14ac:dyDescent="0.4">
      <c r="A74" s="298" t="s">
        <v>176</v>
      </c>
      <c r="B74" s="299"/>
    </row>
    <row r="75" spans="1:54" ht="16" thickBot="1" x14ac:dyDescent="0.4">
      <c r="A75" s="196" t="s">
        <v>178</v>
      </c>
      <c r="B75" s="208">
        <f>AO57</f>
        <v>5103259.2180000013</v>
      </c>
      <c r="C75" s="14"/>
      <c r="D75" s="198"/>
    </row>
    <row r="76" spans="1:54" ht="15" thickBot="1" x14ac:dyDescent="0.4">
      <c r="C76" s="14"/>
    </row>
    <row r="77" spans="1:54" ht="16" thickBot="1" x14ac:dyDescent="0.4">
      <c r="A77" s="298" t="s">
        <v>179</v>
      </c>
      <c r="B77" s="299"/>
    </row>
    <row r="78" spans="1:54" ht="16" thickBot="1" x14ac:dyDescent="0.4">
      <c r="A78" s="196" t="s">
        <v>51</v>
      </c>
      <c r="B78" s="208">
        <f>O43</f>
        <v>3436800</v>
      </c>
    </row>
    <row r="79" spans="1:54" ht="16" thickBot="1" x14ac:dyDescent="0.4">
      <c r="A79" s="196" t="s">
        <v>187</v>
      </c>
      <c r="B79" s="275">
        <f>AN68</f>
        <v>28.942317005013283</v>
      </c>
    </row>
    <row r="80" spans="1:54" ht="16" thickBot="1" x14ac:dyDescent="0.4">
      <c r="A80" s="196" t="s">
        <v>180</v>
      </c>
      <c r="B80" s="208">
        <f>AN68*AN50</f>
        <v>4522237.032033341</v>
      </c>
    </row>
    <row r="81" spans="1:13" ht="15" thickBot="1" x14ac:dyDescent="0.4">
      <c r="B81" s="157"/>
      <c r="C81" s="14"/>
    </row>
    <row r="82" spans="1:13" ht="16" thickBot="1" x14ac:dyDescent="0.4">
      <c r="A82" s="298" t="s">
        <v>181</v>
      </c>
      <c r="B82" s="299"/>
    </row>
    <row r="83" spans="1:13" ht="16" thickBot="1" x14ac:dyDescent="0.4">
      <c r="A83" s="196" t="s">
        <v>187</v>
      </c>
      <c r="B83" s="275">
        <f>AO64</f>
        <v>6.0628214639076745</v>
      </c>
    </row>
    <row r="84" spans="1:13" ht="16" thickBot="1" x14ac:dyDescent="0.4">
      <c r="A84" s="196" t="s">
        <v>182</v>
      </c>
      <c r="B84" s="208">
        <f>AO64*AN50</f>
        <v>947315.85373557732</v>
      </c>
    </row>
    <row r="85" spans="1:13" x14ac:dyDescent="0.35">
      <c r="D85" s="14"/>
      <c r="E85" s="14"/>
    </row>
    <row r="86" spans="1:13" x14ac:dyDescent="0.35">
      <c r="A86" s="14"/>
      <c r="E86" s="198"/>
    </row>
    <row r="89" spans="1:13" x14ac:dyDescent="0.35">
      <c r="H89" s="13"/>
      <c r="I89" s="13"/>
      <c r="M89" s="199"/>
    </row>
    <row r="90" spans="1:13" x14ac:dyDescent="0.35">
      <c r="H90" s="13"/>
    </row>
    <row r="91" spans="1:13" x14ac:dyDescent="0.35">
      <c r="H91" s="13"/>
    </row>
    <row r="95" spans="1:13" x14ac:dyDescent="0.35">
      <c r="H95" s="13"/>
    </row>
    <row r="96" spans="1:13" x14ac:dyDescent="0.35">
      <c r="H96" s="13"/>
    </row>
    <row r="97" spans="8:8" x14ac:dyDescent="0.35">
      <c r="H97" s="13"/>
    </row>
    <row r="98" spans="8:8" x14ac:dyDescent="0.35">
      <c r="H98" s="13"/>
    </row>
  </sheetData>
  <mergeCells count="11">
    <mergeCell ref="A74:B74"/>
    <mergeCell ref="A77:B77"/>
    <mergeCell ref="A82:B82"/>
    <mergeCell ref="A1:P4"/>
    <mergeCell ref="E8:I8"/>
    <mergeCell ref="E9:I9"/>
    <mergeCell ref="E10:I10"/>
    <mergeCell ref="E7:I7"/>
    <mergeCell ref="C9:D9"/>
    <mergeCell ref="C10:D10"/>
    <mergeCell ref="C8:D8"/>
  </mergeCells>
  <phoneticPr fontId="16" type="noConversion"/>
  <hyperlinks>
    <hyperlink ref="E9" r:id="rId1" xr:uid="{06F11BBF-EE5E-4087-B727-427496949B35}"/>
    <hyperlink ref="E10" r:id="rId2" xr:uid="{C0B4070D-332F-4A2D-A85D-635166897B57}"/>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80396-D3C3-44E3-B03B-0584E0AE3794}">
  <dimension ref="X8:AN47"/>
  <sheetViews>
    <sheetView zoomScale="115" zoomScaleNormal="115" workbookViewId="0">
      <selection activeCell="Q30" sqref="Q30"/>
    </sheetView>
  </sheetViews>
  <sheetFormatPr defaultRowHeight="14.5" x14ac:dyDescent="0.35"/>
  <cols>
    <col min="40" max="40" width="14.81640625" bestFit="1" customWidth="1"/>
  </cols>
  <sheetData>
    <row r="8" spans="39:40" x14ac:dyDescent="0.35">
      <c r="AM8" s="272"/>
      <c r="AN8" s="272" t="s">
        <v>99</v>
      </c>
    </row>
    <row r="9" spans="39:40" x14ac:dyDescent="0.35">
      <c r="AM9" s="273">
        <v>45778</v>
      </c>
      <c r="AN9" s="274">
        <v>80000</v>
      </c>
    </row>
    <row r="10" spans="39:40" x14ac:dyDescent="0.35">
      <c r="AM10" s="273">
        <v>45809</v>
      </c>
      <c r="AN10" s="274">
        <v>81501.541209720483</v>
      </c>
    </row>
    <row r="11" spans="39:40" x14ac:dyDescent="0.35">
      <c r="AM11" s="273">
        <v>45839</v>
      </c>
      <c r="AN11" s="274">
        <v>83031.265244497088</v>
      </c>
    </row>
    <row r="12" spans="39:40" x14ac:dyDescent="0.35">
      <c r="AM12" s="273">
        <v>45870</v>
      </c>
      <c r="AN12" s="274">
        <v>84589.701075245146</v>
      </c>
    </row>
    <row r="13" spans="39:40" x14ac:dyDescent="0.35">
      <c r="AM13" s="273">
        <v>45901</v>
      </c>
      <c r="AN13" s="274">
        <v>86177.387601275375</v>
      </c>
    </row>
    <row r="14" spans="39:40" x14ac:dyDescent="0.35">
      <c r="AM14" s="273">
        <v>45931</v>
      </c>
      <c r="AN14" s="274">
        <v>87794.87383664251</v>
      </c>
    </row>
    <row r="15" spans="39:40" x14ac:dyDescent="0.35">
      <c r="AM15" s="273">
        <v>45962</v>
      </c>
      <c r="AN15" s="274">
        <v>89442.719099991635</v>
      </c>
    </row>
    <row r="16" spans="39:40" x14ac:dyDescent="0.35">
      <c r="AM16" s="273">
        <v>45992</v>
      </c>
      <c r="AN16" s="274">
        <v>91121.493207967782</v>
      </c>
    </row>
    <row r="17" spans="24:40" x14ac:dyDescent="0.35">
      <c r="AM17" s="273">
        <v>46023</v>
      </c>
      <c r="AN17" s="274">
        <v>92831.776672255655</v>
      </c>
    </row>
    <row r="18" spans="24:40" x14ac:dyDescent="0.35">
      <c r="AM18" s="273">
        <v>46054</v>
      </c>
      <c r="AN18" s="274">
        <v>94574.160900317671</v>
      </c>
    </row>
    <row r="19" spans="24:40" x14ac:dyDescent="0.35">
      <c r="AM19" s="273">
        <v>46082</v>
      </c>
      <c r="AN19" s="274">
        <v>96349.248399899705</v>
      </c>
    </row>
    <row r="20" spans="24:40" x14ac:dyDescent="0.35">
      <c r="AM20" s="273">
        <v>46113</v>
      </c>
      <c r="AN20" s="274">
        <v>98157.652987375273</v>
      </c>
    </row>
    <row r="21" spans="24:40" x14ac:dyDescent="0.35">
      <c r="AM21" s="273">
        <v>46143</v>
      </c>
      <c r="AN21" s="274">
        <v>100000.00000000012</v>
      </c>
    </row>
    <row r="22" spans="24:40" x14ac:dyDescent="0.35">
      <c r="AM22" s="273">
        <v>46174</v>
      </c>
      <c r="AN22" s="274">
        <v>101876.92651215073</v>
      </c>
    </row>
    <row r="23" spans="24:40" x14ac:dyDescent="0.35">
      <c r="AM23" s="273">
        <v>46204</v>
      </c>
      <c r="AN23" s="274">
        <v>103789.08155562148</v>
      </c>
    </row>
    <row r="24" spans="24:40" x14ac:dyDescent="0.35">
      <c r="AM24" s="273">
        <v>46235</v>
      </c>
      <c r="AN24" s="274">
        <v>105737.12634405657</v>
      </c>
    </row>
    <row r="25" spans="24:40" x14ac:dyDescent="0.35">
      <c r="AM25" s="273">
        <v>46266</v>
      </c>
      <c r="AN25" s="274">
        <v>107721.73450159436</v>
      </c>
    </row>
    <row r="26" spans="24:40" x14ac:dyDescent="0.35">
      <c r="AM26" s="273">
        <v>46296</v>
      </c>
      <c r="AN26" s="274">
        <v>109743.59229580328</v>
      </c>
    </row>
    <row r="27" spans="24:40" x14ac:dyDescent="0.35">
      <c r="AM27" s="273">
        <v>46327</v>
      </c>
      <c r="AN27" s="274">
        <v>111803.39887498968</v>
      </c>
    </row>
    <row r="28" spans="24:40" x14ac:dyDescent="0.35">
      <c r="AM28" s="273">
        <v>46357</v>
      </c>
      <c r="AN28" s="274">
        <v>113901.86650995986</v>
      </c>
    </row>
    <row r="29" spans="24:40" ht="15" thickBot="1" x14ac:dyDescent="0.4">
      <c r="AM29" s="273">
        <v>46388</v>
      </c>
      <c r="AN29" s="274">
        <v>116039.7208403197</v>
      </c>
    </row>
    <row r="30" spans="24:40" x14ac:dyDescent="0.35">
      <c r="X30" s="314" t="s">
        <v>185</v>
      </c>
      <c r="Y30" s="315"/>
      <c r="Z30" s="315"/>
      <c r="AA30" s="315"/>
      <c r="AB30" s="315"/>
      <c r="AC30" s="315"/>
      <c r="AD30" s="315"/>
      <c r="AE30" s="315"/>
      <c r="AF30" s="315"/>
      <c r="AG30" s="315"/>
      <c r="AH30" s="315"/>
      <c r="AI30" s="315"/>
      <c r="AJ30" s="316"/>
      <c r="AM30" s="273">
        <v>46419</v>
      </c>
      <c r="AN30" s="274">
        <v>118217.70112539722</v>
      </c>
    </row>
    <row r="31" spans="24:40" x14ac:dyDescent="0.35">
      <c r="X31" s="317"/>
      <c r="Y31" s="318"/>
      <c r="Z31" s="318"/>
      <c r="AA31" s="318"/>
      <c r="AB31" s="318"/>
      <c r="AC31" s="318"/>
      <c r="AD31" s="318"/>
      <c r="AE31" s="318"/>
      <c r="AF31" s="318"/>
      <c r="AG31" s="318"/>
      <c r="AH31" s="318"/>
      <c r="AI31" s="318"/>
      <c r="AJ31" s="319"/>
      <c r="AM31" s="273">
        <v>46447</v>
      </c>
      <c r="AN31" s="274">
        <v>120436.56049987477</v>
      </c>
    </row>
    <row r="32" spans="24:40" x14ac:dyDescent="0.35">
      <c r="X32" s="317"/>
      <c r="Y32" s="318"/>
      <c r="Z32" s="318"/>
      <c r="AA32" s="318"/>
      <c r="AB32" s="318"/>
      <c r="AC32" s="318"/>
      <c r="AD32" s="318"/>
      <c r="AE32" s="318"/>
      <c r="AF32" s="318"/>
      <c r="AG32" s="318"/>
      <c r="AH32" s="318"/>
      <c r="AI32" s="318"/>
      <c r="AJ32" s="319"/>
      <c r="AM32" s="273">
        <v>46478</v>
      </c>
      <c r="AN32" s="274">
        <v>122697.06623421924</v>
      </c>
    </row>
    <row r="33" spans="24:40" x14ac:dyDescent="0.35">
      <c r="X33" s="317"/>
      <c r="Y33" s="318"/>
      <c r="Z33" s="318"/>
      <c r="AA33" s="318"/>
      <c r="AB33" s="318"/>
      <c r="AC33" s="318"/>
      <c r="AD33" s="318"/>
      <c r="AE33" s="318"/>
      <c r="AF33" s="318"/>
      <c r="AG33" s="318"/>
      <c r="AH33" s="318"/>
      <c r="AI33" s="318"/>
      <c r="AJ33" s="319"/>
      <c r="AM33" s="273">
        <v>46508</v>
      </c>
      <c r="AN33" s="274">
        <v>125000.00000000029</v>
      </c>
    </row>
    <row r="34" spans="24:40" x14ac:dyDescent="0.35">
      <c r="X34" s="317"/>
      <c r="Y34" s="318"/>
      <c r="Z34" s="318"/>
      <c r="AA34" s="318"/>
      <c r="AB34" s="318"/>
      <c r="AC34" s="318"/>
      <c r="AD34" s="318"/>
      <c r="AE34" s="318"/>
      <c r="AF34" s="318"/>
      <c r="AG34" s="318"/>
      <c r="AH34" s="318"/>
      <c r="AI34" s="318"/>
      <c r="AJ34" s="319"/>
      <c r="AM34" s="273">
        <v>46539</v>
      </c>
      <c r="AN34" s="274">
        <v>127346.15814018856</v>
      </c>
    </row>
    <row r="35" spans="24:40" x14ac:dyDescent="0.35">
      <c r="X35" s="317"/>
      <c r="Y35" s="318"/>
      <c r="Z35" s="318"/>
      <c r="AA35" s="318"/>
      <c r="AB35" s="318"/>
      <c r="AC35" s="318"/>
      <c r="AD35" s="318"/>
      <c r="AE35" s="318"/>
      <c r="AF35" s="318"/>
      <c r="AG35" s="318"/>
      <c r="AH35" s="318"/>
      <c r="AI35" s="318"/>
      <c r="AJ35" s="319"/>
      <c r="AM35" s="273">
        <v>46569</v>
      </c>
      <c r="AN35" s="274">
        <v>129736.35194452701</v>
      </c>
    </row>
    <row r="36" spans="24:40" x14ac:dyDescent="0.35">
      <c r="X36" s="317"/>
      <c r="Y36" s="318"/>
      <c r="Z36" s="318"/>
      <c r="AA36" s="318"/>
      <c r="AB36" s="318"/>
      <c r="AC36" s="318"/>
      <c r="AD36" s="318"/>
      <c r="AE36" s="318"/>
      <c r="AF36" s="318"/>
      <c r="AG36" s="318"/>
      <c r="AH36" s="318"/>
      <c r="AI36" s="318"/>
      <c r="AJ36" s="319"/>
      <c r="AM36" s="273">
        <v>46600</v>
      </c>
      <c r="AN36" s="274">
        <v>132171.40793007085</v>
      </c>
    </row>
    <row r="37" spans="24:40" x14ac:dyDescent="0.35">
      <c r="X37" s="317"/>
      <c r="Y37" s="318"/>
      <c r="Z37" s="318"/>
      <c r="AA37" s="318"/>
      <c r="AB37" s="318"/>
      <c r="AC37" s="318"/>
      <c r="AD37" s="318"/>
      <c r="AE37" s="318"/>
      <c r="AF37" s="318"/>
      <c r="AG37" s="318"/>
      <c r="AH37" s="318"/>
      <c r="AI37" s="318"/>
      <c r="AJ37" s="319"/>
      <c r="AM37" s="273">
        <v>46631</v>
      </c>
      <c r="AN37" s="274">
        <v>134652.16812699309</v>
      </c>
    </row>
    <row r="38" spans="24:40" x14ac:dyDescent="0.35">
      <c r="X38" s="317"/>
      <c r="Y38" s="318"/>
      <c r="Z38" s="318"/>
      <c r="AA38" s="318"/>
      <c r="AB38" s="318"/>
      <c r="AC38" s="318"/>
      <c r="AD38" s="318"/>
      <c r="AE38" s="318"/>
      <c r="AF38" s="318"/>
      <c r="AG38" s="318"/>
      <c r="AH38" s="318"/>
      <c r="AI38" s="318"/>
      <c r="AJ38" s="319"/>
      <c r="AM38" s="273">
        <v>46661</v>
      </c>
      <c r="AN38" s="274">
        <v>137179.49036975423</v>
      </c>
    </row>
    <row r="39" spans="24:40" x14ac:dyDescent="0.35">
      <c r="X39" s="317"/>
      <c r="Y39" s="318"/>
      <c r="Z39" s="318"/>
      <c r="AA39" s="318"/>
      <c r="AB39" s="318"/>
      <c r="AC39" s="318"/>
      <c r="AD39" s="318"/>
      <c r="AE39" s="318"/>
      <c r="AF39" s="318"/>
      <c r="AG39" s="318"/>
      <c r="AH39" s="318"/>
      <c r="AI39" s="318"/>
      <c r="AJ39" s="319"/>
      <c r="AM39" s="273">
        <v>46692</v>
      </c>
      <c r="AN39" s="274">
        <v>139754.24859373725</v>
      </c>
    </row>
    <row r="40" spans="24:40" x14ac:dyDescent="0.35">
      <c r="X40" s="317"/>
      <c r="Y40" s="318"/>
      <c r="Z40" s="318"/>
      <c r="AA40" s="318"/>
      <c r="AB40" s="318"/>
      <c r="AC40" s="318"/>
      <c r="AD40" s="318"/>
      <c r="AE40" s="318"/>
      <c r="AF40" s="318"/>
      <c r="AG40" s="318"/>
      <c r="AH40" s="318"/>
      <c r="AI40" s="318"/>
      <c r="AJ40" s="319"/>
      <c r="AM40" s="273">
        <v>46722</v>
      </c>
      <c r="AN40" s="274">
        <v>142377.33313744998</v>
      </c>
    </row>
    <row r="41" spans="24:40" x14ac:dyDescent="0.35">
      <c r="X41" s="317"/>
      <c r="Y41" s="318"/>
      <c r="Z41" s="318"/>
      <c r="AA41" s="318"/>
      <c r="AB41" s="318"/>
      <c r="AC41" s="318"/>
      <c r="AD41" s="318"/>
      <c r="AE41" s="318"/>
      <c r="AF41" s="318"/>
      <c r="AG41" s="318"/>
      <c r="AH41" s="318"/>
      <c r="AI41" s="318"/>
      <c r="AJ41" s="319"/>
      <c r="AM41" s="273">
        <v>46753</v>
      </c>
      <c r="AN41" s="274">
        <v>145049.65105039979</v>
      </c>
    </row>
    <row r="42" spans="24:40" x14ac:dyDescent="0.35">
      <c r="X42" s="317"/>
      <c r="Y42" s="318"/>
      <c r="Z42" s="318"/>
      <c r="AA42" s="318"/>
      <c r="AB42" s="318"/>
      <c r="AC42" s="318"/>
      <c r="AD42" s="318"/>
      <c r="AE42" s="318"/>
      <c r="AF42" s="318"/>
      <c r="AG42" s="318"/>
      <c r="AH42" s="318"/>
      <c r="AI42" s="318"/>
      <c r="AJ42" s="319"/>
      <c r="AM42" s="273">
        <v>46784</v>
      </c>
      <c r="AN42" s="274">
        <v>147772.12640674668</v>
      </c>
    </row>
    <row r="43" spans="24:40" x14ac:dyDescent="0.35">
      <c r="X43" s="317"/>
      <c r="Y43" s="318"/>
      <c r="Z43" s="318"/>
      <c r="AA43" s="318"/>
      <c r="AB43" s="318"/>
      <c r="AC43" s="318"/>
      <c r="AD43" s="318"/>
      <c r="AE43" s="318"/>
      <c r="AF43" s="318"/>
      <c r="AG43" s="318"/>
      <c r="AH43" s="318"/>
      <c r="AI43" s="318"/>
      <c r="AJ43" s="319"/>
      <c r="AM43" s="273">
        <v>46813</v>
      </c>
      <c r="AN43" s="274">
        <v>150545.70062484362</v>
      </c>
    </row>
    <row r="44" spans="24:40" x14ac:dyDescent="0.35">
      <c r="X44" s="317"/>
      <c r="Y44" s="318"/>
      <c r="Z44" s="318"/>
      <c r="AA44" s="318"/>
      <c r="AB44" s="318"/>
      <c r="AC44" s="318"/>
      <c r="AD44" s="318"/>
      <c r="AE44" s="318"/>
      <c r="AF44" s="318"/>
      <c r="AG44" s="318"/>
      <c r="AH44" s="318"/>
      <c r="AI44" s="318"/>
      <c r="AJ44" s="319"/>
      <c r="AM44" s="273">
        <v>46844</v>
      </c>
      <c r="AN44" s="274">
        <v>153371.33279277419</v>
      </c>
    </row>
    <row r="45" spans="24:40" ht="15" thickBot="1" x14ac:dyDescent="0.4">
      <c r="X45" s="320"/>
      <c r="Y45" s="321"/>
      <c r="Z45" s="321"/>
      <c r="AA45" s="321"/>
      <c r="AB45" s="321"/>
      <c r="AC45" s="321"/>
      <c r="AD45" s="321"/>
      <c r="AE45" s="321"/>
      <c r="AF45" s="321"/>
      <c r="AG45" s="321"/>
      <c r="AH45" s="321"/>
      <c r="AI45" s="321"/>
      <c r="AJ45" s="322"/>
      <c r="AM45" s="273">
        <v>46874</v>
      </c>
      <c r="AN45" s="274">
        <v>156250.00000000052</v>
      </c>
    </row>
    <row r="46" spans="24:40" x14ac:dyDescent="0.35">
      <c r="AM46" s="273">
        <v>46905</v>
      </c>
      <c r="AN46" s="274">
        <v>159182.69767523586</v>
      </c>
    </row>
    <row r="47" spans="24:40" x14ac:dyDescent="0.35">
      <c r="AM47" s="273">
        <v>46935</v>
      </c>
      <c r="AN47" s="274">
        <v>162170.4399306589</v>
      </c>
    </row>
  </sheetData>
  <mergeCells count="1">
    <mergeCell ref="X30:AJ4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E92BB-81CB-4F87-BE6A-56169BD2D020}">
  <dimension ref="A1:H35"/>
  <sheetViews>
    <sheetView workbookViewId="0">
      <selection activeCell="H26" sqref="H26"/>
    </sheetView>
  </sheetViews>
  <sheetFormatPr defaultRowHeight="14.5" x14ac:dyDescent="0.35"/>
  <cols>
    <col min="4" max="4" width="44.7265625" customWidth="1"/>
    <col min="5" max="5" width="14.26953125" style="138" bestFit="1" customWidth="1"/>
    <col min="6" max="6" width="14.26953125" style="13" bestFit="1" customWidth="1"/>
  </cols>
  <sheetData>
    <row r="1" spans="1:8" x14ac:dyDescent="0.35">
      <c r="A1" s="140" t="s">
        <v>112</v>
      </c>
      <c r="B1" s="141"/>
      <c r="C1" s="141"/>
      <c r="D1" s="141" t="s">
        <v>113</v>
      </c>
      <c r="E1" s="145" t="s">
        <v>114</v>
      </c>
      <c r="F1" s="142" t="s">
        <v>115</v>
      </c>
      <c r="G1" s="141" t="s">
        <v>116</v>
      </c>
      <c r="H1" s="136">
        <v>1.4</v>
      </c>
    </row>
    <row r="2" spans="1:8" x14ac:dyDescent="0.35">
      <c r="A2" s="143"/>
      <c r="B2" s="143">
        <v>1.1000000000000001</v>
      </c>
      <c r="C2" s="143"/>
      <c r="D2" s="143" t="s">
        <v>90</v>
      </c>
      <c r="E2" s="146">
        <f>SUM(E3:E4)</f>
        <v>160000</v>
      </c>
      <c r="F2" s="144">
        <f t="shared" ref="F2:F35" si="0">E2*$H$1</f>
        <v>224000</v>
      </c>
    </row>
    <row r="3" spans="1:8" x14ac:dyDescent="0.35">
      <c r="C3" t="s">
        <v>117</v>
      </c>
      <c r="D3" t="s">
        <v>118</v>
      </c>
      <c r="E3" s="138">
        <v>80000</v>
      </c>
      <c r="F3" s="13">
        <f t="shared" si="0"/>
        <v>112000</v>
      </c>
    </row>
    <row r="4" spans="1:8" x14ac:dyDescent="0.35">
      <c r="C4" t="s">
        <v>119</v>
      </c>
      <c r="D4" t="s">
        <v>120</v>
      </c>
      <c r="E4" s="138">
        <v>80000</v>
      </c>
      <c r="F4" s="13">
        <f t="shared" si="0"/>
        <v>112000</v>
      </c>
    </row>
    <row r="5" spans="1:8" x14ac:dyDescent="0.35">
      <c r="A5" s="143"/>
      <c r="B5" s="143">
        <v>1.2</v>
      </c>
      <c r="C5" s="143"/>
      <c r="D5" s="143" t="s">
        <v>19</v>
      </c>
      <c r="E5" s="146">
        <f>SUM(E6:E7)</f>
        <v>432000</v>
      </c>
      <c r="F5" s="144">
        <f t="shared" si="0"/>
        <v>604800</v>
      </c>
    </row>
    <row r="6" spans="1:8" x14ac:dyDescent="0.35">
      <c r="C6" t="s">
        <v>121</v>
      </c>
      <c r="D6" t="s">
        <v>122</v>
      </c>
      <c r="E6" s="138">
        <f>400*360</f>
        <v>144000</v>
      </c>
      <c r="F6" s="13">
        <f t="shared" si="0"/>
        <v>201600</v>
      </c>
    </row>
    <row r="7" spans="1:8" x14ac:dyDescent="0.35">
      <c r="C7" t="s">
        <v>123</v>
      </c>
      <c r="D7" t="s">
        <v>124</v>
      </c>
      <c r="E7" s="138">
        <f>400*720</f>
        <v>288000</v>
      </c>
      <c r="F7" s="13">
        <f t="shared" si="0"/>
        <v>403200</v>
      </c>
    </row>
    <row r="8" spans="1:8" x14ac:dyDescent="0.35">
      <c r="A8" s="143"/>
      <c r="B8" s="143">
        <v>1.3</v>
      </c>
      <c r="C8" s="143"/>
      <c r="D8" s="143" t="s">
        <v>52</v>
      </c>
      <c r="E8" s="146">
        <f>SUM(E9:E10)</f>
        <v>90000</v>
      </c>
      <c r="F8" s="144">
        <f t="shared" si="0"/>
        <v>125999.99999999999</v>
      </c>
    </row>
    <row r="9" spans="1:8" x14ac:dyDescent="0.35">
      <c r="C9" t="s">
        <v>125</v>
      </c>
      <c r="D9" t="s">
        <v>126</v>
      </c>
      <c r="E9" s="138">
        <v>30000</v>
      </c>
      <c r="F9" s="13">
        <f t="shared" si="0"/>
        <v>42000</v>
      </c>
    </row>
    <row r="10" spans="1:8" x14ac:dyDescent="0.35">
      <c r="C10" t="s">
        <v>127</v>
      </c>
      <c r="D10" t="s">
        <v>128</v>
      </c>
      <c r="E10" s="138">
        <f>2*30000</f>
        <v>60000</v>
      </c>
      <c r="F10" s="13">
        <f t="shared" si="0"/>
        <v>84000</v>
      </c>
    </row>
    <row r="11" spans="1:8" x14ac:dyDescent="0.35">
      <c r="A11" s="143"/>
      <c r="B11" s="143">
        <v>1.4</v>
      </c>
      <c r="C11" s="143"/>
      <c r="D11" s="143" t="s">
        <v>129</v>
      </c>
      <c r="E11" s="146">
        <f>SUM(E12:E13)</f>
        <v>17000</v>
      </c>
      <c r="F11" s="144">
        <f t="shared" si="0"/>
        <v>23800</v>
      </c>
    </row>
    <row r="12" spans="1:8" x14ac:dyDescent="0.35">
      <c r="C12" t="s">
        <v>130</v>
      </c>
      <c r="D12" t="s">
        <v>131</v>
      </c>
      <c r="E12" s="138">
        <v>15000</v>
      </c>
      <c r="F12" s="13">
        <f t="shared" si="0"/>
        <v>21000</v>
      </c>
    </row>
    <row r="13" spans="1:8" x14ac:dyDescent="0.35">
      <c r="C13" t="s">
        <v>132</v>
      </c>
      <c r="D13" t="s">
        <v>133</v>
      </c>
      <c r="E13" s="138">
        <v>2000</v>
      </c>
      <c r="F13" s="13">
        <f t="shared" si="0"/>
        <v>2800</v>
      </c>
    </row>
    <row r="14" spans="1:8" x14ac:dyDescent="0.35">
      <c r="A14" s="143"/>
      <c r="B14" s="143">
        <v>1.5</v>
      </c>
      <c r="C14" s="143"/>
      <c r="D14" s="143" t="s">
        <v>134</v>
      </c>
      <c r="E14" s="146">
        <f>SUM(E15:E18)</f>
        <v>18000</v>
      </c>
      <c r="F14" s="144">
        <f t="shared" si="0"/>
        <v>25200</v>
      </c>
    </row>
    <row r="15" spans="1:8" x14ac:dyDescent="0.35">
      <c r="D15" t="s">
        <v>135</v>
      </c>
      <c r="E15" s="138">
        <v>12000</v>
      </c>
      <c r="F15" s="13">
        <f t="shared" si="0"/>
        <v>16800</v>
      </c>
    </row>
    <row r="16" spans="1:8" x14ac:dyDescent="0.35">
      <c r="D16" t="s">
        <v>136</v>
      </c>
      <c r="E16" s="138">
        <v>2000</v>
      </c>
      <c r="F16" s="13">
        <f t="shared" si="0"/>
        <v>2800</v>
      </c>
    </row>
    <row r="17" spans="1:6" x14ac:dyDescent="0.35">
      <c r="D17" t="s">
        <v>137</v>
      </c>
      <c r="E17" s="138">
        <v>2000</v>
      </c>
      <c r="F17" s="13">
        <f t="shared" si="0"/>
        <v>2800</v>
      </c>
    </row>
    <row r="18" spans="1:6" x14ac:dyDescent="0.35">
      <c r="D18" t="s">
        <v>138</v>
      </c>
      <c r="E18" s="138">
        <v>2000</v>
      </c>
      <c r="F18" s="13">
        <f t="shared" si="0"/>
        <v>2800</v>
      </c>
    </row>
    <row r="19" spans="1:6" x14ac:dyDescent="0.35">
      <c r="A19" s="143"/>
      <c r="B19" s="143">
        <v>1.6</v>
      </c>
      <c r="C19" s="143"/>
      <c r="D19" s="143" t="s">
        <v>139</v>
      </c>
      <c r="E19" s="146">
        <f>SUM(E20:E23)</f>
        <v>5500</v>
      </c>
      <c r="F19" s="144">
        <f t="shared" si="0"/>
        <v>7699.9999999999991</v>
      </c>
    </row>
    <row r="20" spans="1:6" x14ac:dyDescent="0.35">
      <c r="D20" t="s">
        <v>135</v>
      </c>
      <c r="E20" s="138">
        <v>1500</v>
      </c>
      <c r="F20" s="13">
        <f t="shared" si="0"/>
        <v>2100</v>
      </c>
    </row>
    <row r="21" spans="1:6" x14ac:dyDescent="0.35">
      <c r="D21" t="s">
        <v>136</v>
      </c>
      <c r="E21" s="138">
        <v>1000</v>
      </c>
      <c r="F21" s="13">
        <f t="shared" si="0"/>
        <v>1400</v>
      </c>
    </row>
    <row r="22" spans="1:6" x14ac:dyDescent="0.35">
      <c r="D22" t="s">
        <v>137</v>
      </c>
      <c r="E22" s="138">
        <v>1000</v>
      </c>
      <c r="F22" s="13">
        <f t="shared" si="0"/>
        <v>1400</v>
      </c>
    </row>
    <row r="23" spans="1:6" x14ac:dyDescent="0.35">
      <c r="D23" t="s">
        <v>138</v>
      </c>
      <c r="E23" s="138">
        <v>2000</v>
      </c>
      <c r="F23" s="13">
        <f t="shared" si="0"/>
        <v>2800</v>
      </c>
    </row>
    <row r="24" spans="1:6" x14ac:dyDescent="0.35">
      <c r="A24" s="143"/>
      <c r="B24" s="143">
        <v>1.7</v>
      </c>
      <c r="C24" s="143"/>
      <c r="D24" s="143" t="s">
        <v>21</v>
      </c>
      <c r="E24" s="146">
        <f>SUM(E25:E28)</f>
        <v>0</v>
      </c>
      <c r="F24" s="144">
        <f t="shared" si="0"/>
        <v>0</v>
      </c>
    </row>
    <row r="25" spans="1:6" x14ac:dyDescent="0.35">
      <c r="F25" s="13">
        <f t="shared" si="0"/>
        <v>0</v>
      </c>
    </row>
    <row r="26" spans="1:6" x14ac:dyDescent="0.35">
      <c r="F26" s="13">
        <f t="shared" si="0"/>
        <v>0</v>
      </c>
    </row>
    <row r="27" spans="1:6" x14ac:dyDescent="0.35">
      <c r="F27" s="13">
        <f t="shared" si="0"/>
        <v>0</v>
      </c>
    </row>
    <row r="28" spans="1:6" x14ac:dyDescent="0.35">
      <c r="F28" s="13">
        <f t="shared" si="0"/>
        <v>0</v>
      </c>
    </row>
    <row r="29" spans="1:6" x14ac:dyDescent="0.35">
      <c r="F29" s="13">
        <f t="shared" si="0"/>
        <v>0</v>
      </c>
    </row>
    <row r="30" spans="1:6" x14ac:dyDescent="0.35">
      <c r="A30" s="143"/>
      <c r="B30" s="143">
        <v>1.8</v>
      </c>
      <c r="C30" s="143"/>
      <c r="D30" s="143" t="s">
        <v>140</v>
      </c>
      <c r="E30" s="146">
        <f>SUM(E31:E34)</f>
        <v>0</v>
      </c>
      <c r="F30" s="144">
        <f t="shared" si="0"/>
        <v>0</v>
      </c>
    </row>
    <row r="31" spans="1:6" x14ac:dyDescent="0.35">
      <c r="F31" s="13">
        <f t="shared" si="0"/>
        <v>0</v>
      </c>
    </row>
    <row r="32" spans="1:6" x14ac:dyDescent="0.35">
      <c r="F32" s="13">
        <f t="shared" si="0"/>
        <v>0</v>
      </c>
    </row>
    <row r="33" spans="6:6" x14ac:dyDescent="0.35">
      <c r="F33" s="13">
        <f t="shared" si="0"/>
        <v>0</v>
      </c>
    </row>
    <row r="34" spans="6:6" x14ac:dyDescent="0.35">
      <c r="F34" s="13">
        <f t="shared" si="0"/>
        <v>0</v>
      </c>
    </row>
    <row r="35" spans="6:6" x14ac:dyDescent="0.35">
      <c r="F35" s="13">
        <f t="shared" si="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57A6-68E1-4360-B74E-B8D1893016AC}">
  <sheetPr codeName="Sheet1">
    <tabColor rgb="FF00B050"/>
  </sheetPr>
  <dimension ref="A1:Q42"/>
  <sheetViews>
    <sheetView topLeftCell="A6" zoomScaleNormal="100" workbookViewId="0">
      <selection activeCell="D26" sqref="D26"/>
    </sheetView>
  </sheetViews>
  <sheetFormatPr defaultRowHeight="14.5" x14ac:dyDescent="0.35"/>
  <cols>
    <col min="1" max="1" width="36" bestFit="1" customWidth="1"/>
    <col min="2" max="2" width="14" bestFit="1" customWidth="1"/>
    <col min="3" max="3" width="13.81640625" bestFit="1" customWidth="1"/>
    <col min="4" max="4" width="13.26953125" bestFit="1" customWidth="1"/>
    <col min="5" max="5" width="13.453125" bestFit="1" customWidth="1"/>
    <col min="6" max="6" width="16.1796875" bestFit="1" customWidth="1"/>
    <col min="7" max="7" width="14.26953125" bestFit="1" customWidth="1"/>
    <col min="8" max="8" width="15.26953125" customWidth="1"/>
    <col min="9" max="9" width="7.1796875" bestFit="1" customWidth="1"/>
    <col min="10" max="10" width="21.453125" customWidth="1"/>
    <col min="11" max="11" width="16.1796875" bestFit="1" customWidth="1"/>
    <col min="12" max="12" width="20.453125" customWidth="1"/>
    <col min="13" max="13" width="14.26953125" bestFit="1" customWidth="1"/>
  </cols>
  <sheetData>
    <row r="1" spans="1:17" ht="15" customHeight="1" x14ac:dyDescent="0.35">
      <c r="A1" s="323" t="s">
        <v>141</v>
      </c>
      <c r="B1" s="324"/>
      <c r="C1" s="324"/>
      <c r="D1" s="324"/>
      <c r="E1" s="324"/>
      <c r="F1" s="324"/>
      <c r="G1" s="324"/>
      <c r="H1" s="324"/>
      <c r="I1" s="325"/>
      <c r="J1" s="1"/>
      <c r="K1" s="1"/>
      <c r="L1" s="1"/>
      <c r="M1" s="1"/>
      <c r="N1" s="1"/>
      <c r="O1" s="1"/>
      <c r="P1" s="1"/>
      <c r="Q1" s="1"/>
    </row>
    <row r="2" spans="1:17" ht="15" customHeight="1" x14ac:dyDescent="0.35">
      <c r="A2" s="326"/>
      <c r="B2" s="327"/>
      <c r="C2" s="327"/>
      <c r="D2" s="327"/>
      <c r="E2" s="327"/>
      <c r="F2" s="327"/>
      <c r="G2" s="327"/>
      <c r="H2" s="327"/>
      <c r="I2" s="328"/>
      <c r="J2" s="1"/>
      <c r="K2" s="1"/>
      <c r="L2" s="1"/>
      <c r="M2" s="1"/>
      <c r="N2" s="1"/>
      <c r="O2" s="1"/>
      <c r="P2" s="1"/>
      <c r="Q2" s="1"/>
    </row>
    <row r="3" spans="1:17" ht="15.75" customHeight="1" thickBot="1" x14ac:dyDescent="0.4">
      <c r="A3" s="329"/>
      <c r="B3" s="330"/>
      <c r="C3" s="330"/>
      <c r="D3" s="330"/>
      <c r="E3" s="330"/>
      <c r="F3" s="330"/>
      <c r="G3" s="330"/>
      <c r="H3" s="330"/>
      <c r="I3" s="331"/>
      <c r="J3" s="1"/>
      <c r="K3" s="1"/>
      <c r="L3" s="1"/>
      <c r="M3" s="1"/>
      <c r="N3" s="1"/>
      <c r="O3" s="1"/>
      <c r="P3" s="1"/>
      <c r="Q3" s="1"/>
    </row>
    <row r="4" spans="1:17" ht="15" thickBot="1" x14ac:dyDescent="0.4">
      <c r="A4" s="1"/>
      <c r="B4" s="1"/>
      <c r="C4" s="1"/>
      <c r="D4" s="71" t="s">
        <v>24</v>
      </c>
      <c r="E4" s="1"/>
      <c r="H4" s="15"/>
      <c r="M4" s="1"/>
      <c r="N4" s="1"/>
      <c r="O4" s="1"/>
      <c r="P4" s="1"/>
      <c r="Q4" s="1"/>
    </row>
    <row r="5" spans="1:17" ht="15" thickBot="1" x14ac:dyDescent="0.4">
      <c r="A5" s="11" t="s">
        <v>25</v>
      </c>
      <c r="B5" s="12">
        <v>3</v>
      </c>
      <c r="C5" s="1"/>
      <c r="D5" s="1"/>
      <c r="E5" s="1"/>
      <c r="H5" s="15"/>
      <c r="M5" s="1"/>
      <c r="N5" s="1"/>
      <c r="O5" s="1"/>
      <c r="P5" s="1"/>
      <c r="Q5" s="1"/>
    </row>
    <row r="6" spans="1:17" ht="17.25" customHeight="1" thickBot="1" x14ac:dyDescent="0.4">
      <c r="A6" s="2" t="s">
        <v>26</v>
      </c>
      <c r="B6" s="65">
        <f>B7*1.14</f>
        <v>3.42</v>
      </c>
      <c r="C6" s="1"/>
      <c r="D6" s="336" t="s">
        <v>27</v>
      </c>
      <c r="E6" s="337"/>
      <c r="F6" s="338"/>
      <c r="H6" s="15"/>
      <c r="M6" s="1"/>
      <c r="N6" s="1"/>
      <c r="O6" s="1"/>
      <c r="P6" s="1"/>
      <c r="Q6" s="1"/>
    </row>
    <row r="7" spans="1:17" ht="15" thickBot="1" x14ac:dyDescent="0.4">
      <c r="A7" s="2" t="s">
        <v>28</v>
      </c>
      <c r="B7" s="3">
        <v>3</v>
      </c>
      <c r="C7" s="1"/>
      <c r="D7" s="66" t="s">
        <v>29</v>
      </c>
      <c r="E7" s="332">
        <f>B6</f>
        <v>3.42</v>
      </c>
      <c r="F7" s="333"/>
      <c r="H7" s="15"/>
      <c r="M7" s="1"/>
      <c r="N7" s="1"/>
      <c r="O7" s="1"/>
      <c r="P7" s="1"/>
      <c r="Q7" s="1"/>
    </row>
    <row r="8" spans="1:17" ht="15" thickBot="1" x14ac:dyDescent="0.4">
      <c r="A8" s="2" t="s">
        <v>30</v>
      </c>
      <c r="B8" s="3">
        <v>3</v>
      </c>
      <c r="C8" s="1"/>
      <c r="D8" s="6" t="s">
        <v>31</v>
      </c>
      <c r="E8" s="334">
        <f>SUM(B24:B31)/E7</f>
        <v>242631.57894736843</v>
      </c>
      <c r="F8" s="335"/>
      <c r="H8" s="15"/>
      <c r="L8" s="1"/>
      <c r="M8" s="1"/>
      <c r="N8" s="1"/>
      <c r="O8" s="1"/>
      <c r="P8" s="1"/>
      <c r="Q8" s="1"/>
    </row>
    <row r="9" spans="1:17" ht="15" thickBot="1" x14ac:dyDescent="0.4">
      <c r="A9" s="1"/>
      <c r="B9" s="1"/>
      <c r="C9" s="1"/>
      <c r="D9" s="1"/>
      <c r="E9" s="1"/>
      <c r="F9" s="1"/>
      <c r="H9" s="15"/>
      <c r="L9" s="1"/>
      <c r="M9" s="1"/>
      <c r="N9" s="1"/>
      <c r="O9" s="1"/>
      <c r="P9" s="1"/>
      <c r="Q9" s="1"/>
    </row>
    <row r="10" spans="1:17" x14ac:dyDescent="0.35">
      <c r="A10" s="1"/>
      <c r="B10" s="1"/>
      <c r="C10" s="1"/>
      <c r="E10" s="1"/>
      <c r="F10" s="115" t="s">
        <v>32</v>
      </c>
      <c r="G10" s="120">
        <v>3250</v>
      </c>
      <c r="H10" s="15"/>
      <c r="L10" s="1"/>
      <c r="M10" s="1"/>
      <c r="N10" s="1"/>
      <c r="O10" s="1"/>
      <c r="P10" s="1"/>
      <c r="Q10" s="1"/>
    </row>
    <row r="11" spans="1:17" ht="15" thickBot="1" x14ac:dyDescent="0.4">
      <c r="C11" s="1"/>
      <c r="E11" s="1">
        <f>'Site 2 Cost Model'!A3</f>
        <v>80000</v>
      </c>
      <c r="F11" s="121" t="s">
        <v>33</v>
      </c>
      <c r="G11" s="122">
        <v>800000000</v>
      </c>
      <c r="H11" s="15"/>
      <c r="L11" s="1"/>
      <c r="M11" s="1"/>
      <c r="N11" s="1"/>
      <c r="O11" s="1"/>
      <c r="P11" s="1"/>
      <c r="Q11" s="1"/>
    </row>
    <row r="12" spans="1:17" ht="15" thickBot="1" x14ac:dyDescent="0.4">
      <c r="A12" s="80" t="s">
        <v>34</v>
      </c>
      <c r="B12" s="81">
        <v>80000</v>
      </c>
      <c r="C12" s="1"/>
      <c r="D12" s="115" t="s">
        <v>19</v>
      </c>
      <c r="E12" s="116" t="s">
        <v>35</v>
      </c>
      <c r="F12" s="116" t="s">
        <v>22</v>
      </c>
      <c r="G12" s="117" t="s">
        <v>36</v>
      </c>
      <c r="H12" s="15"/>
      <c r="L12" s="1"/>
      <c r="M12" s="1"/>
      <c r="N12" s="1"/>
      <c r="O12" s="1"/>
      <c r="P12" s="1"/>
      <c r="Q12" s="1"/>
    </row>
    <row r="13" spans="1:17" ht="15" thickBot="1" x14ac:dyDescent="0.4">
      <c r="A13" s="82" t="s">
        <v>37</v>
      </c>
      <c r="B13" s="83">
        <v>30000</v>
      </c>
      <c r="C13" s="1"/>
      <c r="D13" s="6" t="s">
        <v>38</v>
      </c>
      <c r="E13" s="118">
        <v>104</v>
      </c>
      <c r="F13" s="119">
        <f>B6*1000/(G10/1000)</f>
        <v>1052.3076923076924</v>
      </c>
      <c r="G13" s="162">
        <f>(F13*E13)/G11*3.125*6*24*28</f>
        <v>1.7236800000000001</v>
      </c>
      <c r="H13" s="15"/>
      <c r="L13" s="1"/>
      <c r="M13" s="1"/>
      <c r="N13" s="1"/>
      <c r="O13" s="1"/>
      <c r="P13" s="1"/>
      <c r="Q13" s="1"/>
    </row>
    <row r="14" spans="1:17" ht="15" thickBot="1" x14ac:dyDescent="0.4">
      <c r="A14" s="82" t="s">
        <v>142</v>
      </c>
      <c r="B14" s="83"/>
      <c r="C14" s="1"/>
      <c r="H14" s="15"/>
      <c r="L14" s="1"/>
      <c r="M14" s="1"/>
      <c r="N14" s="1"/>
      <c r="O14" s="1"/>
      <c r="P14" s="1"/>
      <c r="Q14" s="1"/>
    </row>
    <row r="15" spans="1:17" ht="15" thickBot="1" x14ac:dyDescent="0.4">
      <c r="A15" s="84" t="s">
        <v>39</v>
      </c>
      <c r="B15" s="85">
        <v>10000</v>
      </c>
      <c r="C15" s="1"/>
      <c r="H15" s="15"/>
      <c r="L15" s="1"/>
      <c r="M15" s="1"/>
      <c r="N15" s="1"/>
      <c r="O15" s="1"/>
      <c r="P15" s="1"/>
      <c r="Q15" s="1"/>
    </row>
    <row r="16" spans="1:17" ht="15.75" customHeight="1" thickBot="1" x14ac:dyDescent="0.4">
      <c r="A16" s="1"/>
      <c r="B16" s="1"/>
      <c r="C16" s="1"/>
      <c r="D16" s="4"/>
      <c r="E16" s="1"/>
      <c r="H16" s="15"/>
      <c r="L16" s="1"/>
      <c r="M16" s="1"/>
      <c r="N16" s="1"/>
      <c r="O16" s="1"/>
      <c r="P16" s="1"/>
      <c r="Q16" s="1"/>
    </row>
    <row r="17" spans="1:17" ht="15" thickBot="1" x14ac:dyDescent="0.4">
      <c r="A17" s="86" t="s">
        <v>40</v>
      </c>
      <c r="B17" s="87" t="s">
        <v>41</v>
      </c>
      <c r="C17" s="87" t="s">
        <v>42</v>
      </c>
      <c r="D17" s="87" t="s">
        <v>43</v>
      </c>
      <c r="E17" s="88" t="s">
        <v>44</v>
      </c>
      <c r="H17" s="15"/>
      <c r="L17" s="1"/>
      <c r="M17" s="1" t="s">
        <v>45</v>
      </c>
      <c r="N17" s="1"/>
      <c r="O17" s="1"/>
      <c r="P17" s="1"/>
      <c r="Q17" s="1"/>
    </row>
    <row r="18" spans="1:17" ht="15.5" x14ac:dyDescent="0.35">
      <c r="A18" s="72" t="s">
        <v>46</v>
      </c>
      <c r="B18" s="91"/>
      <c r="C18" s="91" t="s">
        <v>47</v>
      </c>
      <c r="D18" s="91"/>
      <c r="E18" s="92"/>
      <c r="F18" s="5"/>
      <c r="G18" s="5"/>
      <c r="H18" s="15"/>
      <c r="L18" s="1"/>
      <c r="M18" s="1"/>
      <c r="N18" s="1"/>
      <c r="O18" s="1"/>
      <c r="P18" s="1"/>
      <c r="Q18" s="1"/>
    </row>
    <row r="19" spans="1:17" ht="15.5" x14ac:dyDescent="0.35">
      <c r="A19" s="93" t="s">
        <v>48</v>
      </c>
      <c r="B19" s="1"/>
      <c r="C19" s="147">
        <f>$G$13</f>
        <v>1.7236800000000001</v>
      </c>
      <c r="D19" s="147">
        <f>$G$13</f>
        <v>1.7236800000000001</v>
      </c>
      <c r="E19" s="94">
        <f>$G$13</f>
        <v>1.7236800000000001</v>
      </c>
      <c r="F19" s="5"/>
      <c r="G19" s="5"/>
      <c r="H19" s="15"/>
      <c r="L19" s="1"/>
      <c r="M19" s="1"/>
      <c r="N19" s="1"/>
      <c r="O19" s="1"/>
      <c r="P19" s="1"/>
      <c r="Q19" s="1"/>
    </row>
    <row r="20" spans="1:17" ht="15.5" x14ac:dyDescent="0.35">
      <c r="A20" s="73" t="s">
        <v>49</v>
      </c>
      <c r="B20" s="95"/>
      <c r="C20" s="96">
        <f>C19</f>
        <v>1.7236800000000001</v>
      </c>
      <c r="D20" s="96">
        <f>C20+D19</f>
        <v>3.4473600000000002</v>
      </c>
      <c r="E20" s="97">
        <f>D20+E19</f>
        <v>5.1710400000000005</v>
      </c>
      <c r="F20" s="5"/>
      <c r="G20" s="5"/>
      <c r="H20" s="15"/>
      <c r="L20" s="1"/>
      <c r="M20" s="1"/>
      <c r="N20" s="1"/>
      <c r="O20" s="1"/>
      <c r="P20" s="1"/>
      <c r="Q20" s="1"/>
    </row>
    <row r="21" spans="1:17" ht="16" thickBot="1" x14ac:dyDescent="0.4">
      <c r="A21" s="77" t="s">
        <v>50</v>
      </c>
      <c r="B21" s="98"/>
      <c r="C21" s="99">
        <f>$E$11*C19</f>
        <v>137894.39999999999</v>
      </c>
      <c r="D21" s="99">
        <f t="shared" ref="D21:E21" si="0">$E$11*D19</f>
        <v>137894.39999999999</v>
      </c>
      <c r="E21" s="100">
        <f t="shared" si="0"/>
        <v>137894.39999999999</v>
      </c>
      <c r="F21" s="5"/>
      <c r="G21" s="5"/>
      <c r="H21" s="15"/>
      <c r="J21" s="1"/>
      <c r="K21" s="1"/>
      <c r="L21" s="1"/>
      <c r="M21" s="1"/>
      <c r="N21" s="1"/>
      <c r="O21" s="1"/>
      <c r="P21" s="1"/>
      <c r="Q21" s="1"/>
    </row>
    <row r="22" spans="1:17" x14ac:dyDescent="0.35">
      <c r="A22" s="89" t="s">
        <v>18</v>
      </c>
      <c r="B22" s="101"/>
      <c r="C22" s="101"/>
      <c r="D22" s="101"/>
      <c r="E22" s="102"/>
      <c r="H22" s="15"/>
      <c r="J22" s="1"/>
      <c r="K22" s="1"/>
      <c r="L22" s="1"/>
      <c r="M22" s="1"/>
      <c r="N22" s="1"/>
      <c r="O22" s="1"/>
      <c r="P22" s="1"/>
      <c r="Q22" s="1"/>
    </row>
    <row r="23" spans="1:17" x14ac:dyDescent="0.35">
      <c r="A23" s="74" t="s">
        <v>51</v>
      </c>
      <c r="B23" s="148"/>
      <c r="C23" s="148"/>
      <c r="D23" s="148"/>
      <c r="E23" s="103"/>
      <c r="H23" s="15"/>
      <c r="J23" s="1"/>
      <c r="K23" s="1"/>
      <c r="L23" s="1"/>
      <c r="M23" s="1"/>
      <c r="N23" s="1"/>
      <c r="O23" s="1"/>
      <c r="P23" s="1"/>
      <c r="Q23" s="1"/>
    </row>
    <row r="24" spans="1:17" x14ac:dyDescent="0.35">
      <c r="A24" s="93" t="s">
        <v>20</v>
      </c>
      <c r="B24" s="149">
        <f>B12*B7</f>
        <v>240000</v>
      </c>
      <c r="C24" s="1"/>
      <c r="D24" s="1"/>
      <c r="E24" s="104"/>
      <c r="H24" s="15"/>
      <c r="J24" s="1"/>
      <c r="K24" s="1"/>
      <c r="L24" s="1"/>
      <c r="M24" s="1"/>
      <c r="N24" s="1"/>
      <c r="O24" s="1"/>
      <c r="P24" s="1"/>
      <c r="Q24" s="1"/>
    </row>
    <row r="25" spans="1:17" x14ac:dyDescent="0.35">
      <c r="A25" s="93" t="s">
        <v>21</v>
      </c>
      <c r="B25" s="149">
        <f>B7*B15</f>
        <v>30000</v>
      </c>
      <c r="C25" s="1"/>
      <c r="D25" s="1"/>
      <c r="E25" s="104"/>
      <c r="H25" s="15"/>
      <c r="J25" s="1"/>
      <c r="K25" s="1"/>
      <c r="L25" s="1"/>
      <c r="M25" s="1"/>
      <c r="N25" s="1"/>
      <c r="O25" s="1"/>
      <c r="P25" s="1"/>
      <c r="Q25" s="1"/>
    </row>
    <row r="26" spans="1:17" x14ac:dyDescent="0.35">
      <c r="A26" s="93" t="s">
        <v>19</v>
      </c>
      <c r="B26" s="150">
        <f>360*B7*400</f>
        <v>432000</v>
      </c>
      <c r="C26" s="1"/>
      <c r="D26" s="1"/>
      <c r="E26" s="104"/>
      <c r="H26" s="15"/>
      <c r="J26" s="1"/>
      <c r="K26" s="1"/>
      <c r="L26" s="1"/>
      <c r="M26" s="1"/>
      <c r="N26" s="1"/>
      <c r="O26" s="1"/>
      <c r="P26" s="1"/>
      <c r="Q26" s="1"/>
    </row>
    <row r="27" spans="1:17" x14ac:dyDescent="0.35">
      <c r="A27" s="93" t="s">
        <v>52</v>
      </c>
      <c r="B27" s="150">
        <f>B13*B8</f>
        <v>90000</v>
      </c>
      <c r="C27" s="1"/>
      <c r="D27" s="1"/>
      <c r="E27" s="104"/>
      <c r="H27" s="15"/>
      <c r="J27" s="1"/>
      <c r="K27" s="1"/>
      <c r="L27" s="1"/>
      <c r="M27" s="1"/>
      <c r="N27" s="1"/>
      <c r="O27" s="1"/>
      <c r="P27" s="1"/>
      <c r="Q27" s="1"/>
    </row>
    <row r="28" spans="1:17" ht="15.5" x14ac:dyDescent="0.35">
      <c r="A28" s="93" t="s">
        <v>53</v>
      </c>
      <c r="B28" s="150">
        <v>10000</v>
      </c>
      <c r="C28" s="1"/>
      <c r="D28" s="1"/>
      <c r="E28" s="104"/>
      <c r="H28" s="15"/>
      <c r="J28" s="5"/>
      <c r="K28" s="5"/>
      <c r="L28" s="1"/>
      <c r="M28" s="5"/>
      <c r="N28" s="5"/>
      <c r="O28" s="1"/>
      <c r="P28" s="1"/>
      <c r="Q28" s="1"/>
    </row>
    <row r="29" spans="1:17" ht="15.5" x14ac:dyDescent="0.35">
      <c r="A29" s="93" t="s">
        <v>54</v>
      </c>
      <c r="B29" s="149">
        <v>5000</v>
      </c>
      <c r="C29" s="1"/>
      <c r="D29" s="1"/>
      <c r="E29" s="104"/>
      <c r="H29" s="15"/>
      <c r="J29" s="5"/>
      <c r="K29" s="5"/>
      <c r="L29" s="1"/>
      <c r="M29" s="5"/>
      <c r="N29" s="5"/>
      <c r="O29" s="1"/>
      <c r="P29" s="1"/>
      <c r="Q29" s="1"/>
    </row>
    <row r="30" spans="1:17" ht="15.5" x14ac:dyDescent="0.35">
      <c r="A30" s="93" t="s">
        <v>55</v>
      </c>
      <c r="B30" s="150">
        <v>3000</v>
      </c>
      <c r="C30" s="1"/>
      <c r="D30" s="1"/>
      <c r="E30" s="104"/>
      <c r="H30" s="15"/>
      <c r="N30" s="5"/>
      <c r="O30" s="1"/>
      <c r="P30" s="1"/>
      <c r="Q30" s="1"/>
    </row>
    <row r="31" spans="1:17" ht="15.5" x14ac:dyDescent="0.35">
      <c r="A31" s="93" t="s">
        <v>56</v>
      </c>
      <c r="B31" s="150">
        <f>6600*(B7)</f>
        <v>19800</v>
      </c>
      <c r="C31" s="1"/>
      <c r="D31" s="1"/>
      <c r="E31" s="104"/>
      <c r="H31" s="13"/>
      <c r="N31" s="5"/>
      <c r="O31" s="1"/>
      <c r="P31" s="1"/>
      <c r="Q31" s="1"/>
    </row>
    <row r="32" spans="1:17" x14ac:dyDescent="0.35">
      <c r="A32" s="75" t="s">
        <v>57</v>
      </c>
      <c r="B32" s="7">
        <f>SUM(B24:B31)</f>
        <v>829800</v>
      </c>
      <c r="C32" s="105"/>
      <c r="D32" s="105"/>
      <c r="E32" s="106"/>
      <c r="H32" s="14"/>
      <c r="N32" s="1"/>
      <c r="O32" s="1"/>
      <c r="P32" s="1"/>
      <c r="Q32" s="1"/>
    </row>
    <row r="33" spans="1:17" x14ac:dyDescent="0.35">
      <c r="A33" s="107"/>
      <c r="B33" s="1"/>
      <c r="C33" s="1"/>
      <c r="D33" s="1"/>
      <c r="E33" s="104"/>
      <c r="N33" s="1"/>
      <c r="O33" s="1"/>
      <c r="P33" s="1"/>
      <c r="Q33" s="1"/>
    </row>
    <row r="34" spans="1:17" ht="15.5" x14ac:dyDescent="0.35">
      <c r="A34" s="76" t="s">
        <v>58</v>
      </c>
      <c r="B34" s="108"/>
      <c r="C34" s="108"/>
      <c r="D34" s="108"/>
      <c r="E34" s="109"/>
      <c r="F34" s="5"/>
      <c r="N34" s="1"/>
      <c r="O34" s="1"/>
      <c r="P34" s="1"/>
      <c r="Q34" s="1"/>
    </row>
    <row r="35" spans="1:17" ht="15.5" x14ac:dyDescent="0.35">
      <c r="A35" s="93" t="s">
        <v>59</v>
      </c>
      <c r="B35" s="1"/>
      <c r="C35" s="110">
        <v>9000</v>
      </c>
      <c r="D35" s="110">
        <v>9000</v>
      </c>
      <c r="E35" s="111">
        <v>9000</v>
      </c>
      <c r="F35" s="5"/>
      <c r="N35" s="1"/>
      <c r="O35" s="1"/>
      <c r="P35" s="1"/>
      <c r="Q35" s="1"/>
    </row>
    <row r="36" spans="1:17" ht="16.5" customHeight="1" thickBot="1" x14ac:dyDescent="0.4">
      <c r="A36" s="90" t="s">
        <v>60</v>
      </c>
      <c r="B36" s="98"/>
      <c r="C36" s="78">
        <f>SUM(C35:C35)</f>
        <v>9000</v>
      </c>
      <c r="D36" s="78">
        <f>SUM(D35:D35)</f>
        <v>9000</v>
      </c>
      <c r="E36" s="79">
        <f>SUM(E35:E35)</f>
        <v>9000</v>
      </c>
      <c r="P36" s="1"/>
      <c r="Q36" s="1"/>
    </row>
    <row r="37" spans="1:17" x14ac:dyDescent="0.35">
      <c r="P37" s="1"/>
      <c r="Q37" s="1"/>
    </row>
    <row r="38" spans="1:17" x14ac:dyDescent="0.35">
      <c r="P38" s="1"/>
      <c r="Q38" s="1"/>
    </row>
    <row r="42" spans="1:17" ht="15" customHeight="1" x14ac:dyDescent="0.35"/>
  </sheetData>
  <mergeCells count="4">
    <mergeCell ref="A1:I3"/>
    <mergeCell ref="E7:F7"/>
    <mergeCell ref="E8:F8"/>
    <mergeCell ref="D6:F6"/>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91AA-CDDE-44B8-AB28-821C02664383}">
  <sheetPr>
    <tabColor theme="4" tint="-0.499984740745262"/>
  </sheetPr>
  <dimension ref="A1:O70"/>
  <sheetViews>
    <sheetView topLeftCell="A21" zoomScale="85" zoomScaleNormal="85" workbookViewId="0">
      <selection activeCell="B28" sqref="B28:B35"/>
    </sheetView>
  </sheetViews>
  <sheetFormatPr defaultRowHeight="14.5" x14ac:dyDescent="0.35"/>
  <cols>
    <col min="1" max="1" width="35" bestFit="1" customWidth="1"/>
    <col min="2" max="2" width="18.7265625" customWidth="1"/>
    <col min="3" max="9" width="16.81640625" bestFit="1" customWidth="1"/>
    <col min="10" max="10" width="16" customWidth="1"/>
    <col min="11" max="11" width="16.453125" customWidth="1"/>
    <col min="12" max="12" width="15.7265625" bestFit="1" customWidth="1"/>
    <col min="13" max="14" width="16.81640625" bestFit="1" customWidth="1"/>
    <col min="15" max="15" width="19.7265625" customWidth="1"/>
  </cols>
  <sheetData>
    <row r="1" spans="1:15" ht="15" thickBot="1" x14ac:dyDescent="0.4"/>
    <row r="2" spans="1:15" ht="16" thickBot="1" x14ac:dyDescent="0.4">
      <c r="A2" s="56" t="s">
        <v>61</v>
      </c>
    </row>
    <row r="3" spans="1:15" ht="16" thickBot="1" x14ac:dyDescent="0.4">
      <c r="A3" s="58">
        <v>80000</v>
      </c>
    </row>
    <row r="4" spans="1:15" ht="16" thickBot="1" x14ac:dyDescent="0.4">
      <c r="A4" s="56" t="s">
        <v>73</v>
      </c>
      <c r="B4" s="55"/>
    </row>
    <row r="5" spans="1:15" ht="15.5" x14ac:dyDescent="0.35">
      <c r="A5" s="57">
        <v>850000</v>
      </c>
      <c r="B5" s="55"/>
    </row>
    <row r="6" spans="1:15" ht="16" thickBot="1" x14ac:dyDescent="0.4">
      <c r="A6" s="54"/>
      <c r="B6" s="55"/>
    </row>
    <row r="7" spans="1:15" ht="16" thickBot="1" x14ac:dyDescent="0.4">
      <c r="A7" s="25" t="s">
        <v>34</v>
      </c>
      <c r="B7" s="26">
        <f>'Site2 Overview'!B12</f>
        <v>80000</v>
      </c>
      <c r="C7" s="27"/>
      <c r="D7" s="27"/>
      <c r="E7" s="27"/>
      <c r="F7" s="27"/>
      <c r="G7" s="27"/>
      <c r="H7" s="27"/>
      <c r="I7" s="27"/>
      <c r="J7" s="27"/>
      <c r="K7" s="27"/>
      <c r="L7" s="27"/>
      <c r="M7" s="27"/>
      <c r="N7" s="27"/>
      <c r="O7" s="27"/>
    </row>
    <row r="8" spans="1:15" ht="16" thickBot="1" x14ac:dyDescent="0.4">
      <c r="A8" s="28" t="s">
        <v>37</v>
      </c>
      <c r="B8" s="29">
        <f>'Site2 Overview'!B13</f>
        <v>30000</v>
      </c>
      <c r="C8" s="27"/>
      <c r="D8" s="27"/>
      <c r="G8" s="27"/>
      <c r="H8" s="27"/>
      <c r="I8" s="27"/>
      <c r="J8" s="27"/>
      <c r="K8" s="27"/>
      <c r="L8" s="27"/>
      <c r="M8" s="27"/>
      <c r="N8" s="27"/>
      <c r="O8" s="27"/>
    </row>
    <row r="9" spans="1:15" ht="16" thickBot="1" x14ac:dyDescent="0.4">
      <c r="A9" s="30" t="s">
        <v>74</v>
      </c>
      <c r="B9" s="31">
        <f>'Site2 Overview'!B15</f>
        <v>10000</v>
      </c>
      <c r="C9" s="56" t="s">
        <v>35</v>
      </c>
      <c r="D9" s="56" t="s">
        <v>23</v>
      </c>
      <c r="E9" s="27"/>
      <c r="F9" s="27"/>
      <c r="G9" s="27"/>
      <c r="H9" s="27"/>
      <c r="I9" s="27"/>
      <c r="J9" s="27"/>
      <c r="K9" s="27"/>
      <c r="L9" s="27"/>
      <c r="M9" s="27"/>
      <c r="N9" s="27"/>
      <c r="O9" s="27"/>
    </row>
    <row r="10" spans="1:15" ht="16" thickBot="1" x14ac:dyDescent="0.4">
      <c r="A10" s="30" t="s">
        <v>19</v>
      </c>
      <c r="B10" s="31">
        <v>460</v>
      </c>
      <c r="C10" s="156">
        <v>104</v>
      </c>
      <c r="D10" s="156">
        <v>3250</v>
      </c>
      <c r="E10" s="27"/>
      <c r="F10" s="27"/>
      <c r="G10" s="27"/>
      <c r="H10" s="27"/>
      <c r="I10" s="27"/>
      <c r="J10" s="27"/>
      <c r="K10" s="27"/>
      <c r="L10" s="27"/>
      <c r="M10" s="27"/>
      <c r="N10" s="27"/>
      <c r="O10" s="27"/>
    </row>
    <row r="11" spans="1:15" ht="16" thickBot="1" x14ac:dyDescent="0.4">
      <c r="A11" s="27"/>
      <c r="B11" s="167">
        <v>45717</v>
      </c>
      <c r="C11" s="167">
        <v>45748</v>
      </c>
      <c r="D11" s="167">
        <v>45778</v>
      </c>
      <c r="E11" s="167">
        <v>45809</v>
      </c>
      <c r="F11" s="167">
        <v>45839</v>
      </c>
      <c r="G11" s="167">
        <v>45870</v>
      </c>
      <c r="H11" s="167">
        <v>45901</v>
      </c>
      <c r="I11" s="167">
        <v>45931</v>
      </c>
      <c r="J11" s="167">
        <v>45962</v>
      </c>
      <c r="K11" s="167">
        <v>45992</v>
      </c>
      <c r="L11" s="167">
        <v>46023</v>
      </c>
      <c r="M11" s="167">
        <v>46054</v>
      </c>
      <c r="N11" s="167">
        <v>46082</v>
      </c>
      <c r="O11" s="27"/>
    </row>
    <row r="12" spans="1:15" ht="16" thickBot="1" x14ac:dyDescent="0.4">
      <c r="A12" s="52" t="s">
        <v>75</v>
      </c>
      <c r="B12" s="32" t="s">
        <v>41</v>
      </c>
      <c r="C12" s="32" t="s">
        <v>42</v>
      </c>
      <c r="D12" s="32" t="s">
        <v>43</v>
      </c>
      <c r="E12" s="32" t="s">
        <v>44</v>
      </c>
      <c r="F12" s="32" t="s">
        <v>76</v>
      </c>
      <c r="G12" s="32" t="s">
        <v>77</v>
      </c>
      <c r="H12" s="32" t="s">
        <v>78</v>
      </c>
      <c r="I12" s="32" t="s">
        <v>79</v>
      </c>
      <c r="J12" s="32" t="s">
        <v>80</v>
      </c>
      <c r="K12" s="32" t="s">
        <v>81</v>
      </c>
      <c r="L12" s="32" t="s">
        <v>82</v>
      </c>
      <c r="M12" s="32" t="s">
        <v>83</v>
      </c>
      <c r="N12" s="32" t="s">
        <v>84</v>
      </c>
      <c r="O12" s="151" t="s">
        <v>85</v>
      </c>
    </row>
    <row r="13" spans="1:15" ht="16" thickBot="1" x14ac:dyDescent="0.4">
      <c r="A13" s="51" t="s">
        <v>86</v>
      </c>
      <c r="B13" s="33">
        <v>1</v>
      </c>
      <c r="C13" s="33"/>
      <c r="D13" s="33"/>
      <c r="E13" s="33">
        <v>3</v>
      </c>
      <c r="F13" s="33"/>
      <c r="G13" s="33"/>
      <c r="H13" s="33"/>
      <c r="I13" s="33"/>
      <c r="J13" s="33"/>
      <c r="K13" s="33"/>
      <c r="L13" s="33"/>
      <c r="M13" s="33"/>
      <c r="N13" s="33"/>
      <c r="O13" s="152"/>
    </row>
    <row r="14" spans="1:15" ht="16" thickBot="1" x14ac:dyDescent="0.4">
      <c r="A14" s="51" t="s">
        <v>87</v>
      </c>
      <c r="B14" s="33">
        <v>360</v>
      </c>
      <c r="C14" s="33"/>
      <c r="D14" s="33"/>
      <c r="E14" s="33">
        <v>1080</v>
      </c>
      <c r="F14" s="33"/>
      <c r="G14" s="33"/>
      <c r="H14" s="33"/>
      <c r="I14" s="33"/>
      <c r="J14" s="33"/>
      <c r="K14" s="33"/>
      <c r="L14" s="33"/>
      <c r="M14" s="33"/>
      <c r="N14" s="33"/>
      <c r="O14" s="152"/>
    </row>
    <row r="15" spans="1:15" ht="16" thickBot="1" x14ac:dyDescent="0.4">
      <c r="A15" s="53" t="s">
        <v>88</v>
      </c>
      <c r="B15" s="33">
        <v>1</v>
      </c>
      <c r="C15" s="33"/>
      <c r="D15" s="33"/>
      <c r="E15" s="33">
        <v>3</v>
      </c>
      <c r="F15" s="33"/>
      <c r="G15" s="33"/>
      <c r="H15" s="33"/>
      <c r="I15" s="33"/>
      <c r="J15" s="33"/>
      <c r="K15" s="33"/>
      <c r="L15" s="33"/>
      <c r="M15" s="33"/>
      <c r="N15" s="33"/>
      <c r="O15" s="152"/>
    </row>
    <row r="16" spans="1:15" ht="16" thickBot="1" x14ac:dyDescent="0.4">
      <c r="A16" s="52" t="s">
        <v>89</v>
      </c>
      <c r="B16" s="32" t="s">
        <v>41</v>
      </c>
      <c r="C16" s="32" t="s">
        <v>42</v>
      </c>
      <c r="D16" s="32" t="s">
        <v>43</v>
      </c>
      <c r="E16" s="32" t="s">
        <v>44</v>
      </c>
      <c r="F16" s="32" t="s">
        <v>76</v>
      </c>
      <c r="G16" s="32" t="s">
        <v>77</v>
      </c>
      <c r="H16" s="32" t="s">
        <v>78</v>
      </c>
      <c r="I16" s="32" t="s">
        <v>79</v>
      </c>
      <c r="J16" s="32" t="s">
        <v>80</v>
      </c>
      <c r="K16" s="32" t="s">
        <v>81</v>
      </c>
      <c r="L16" s="32" t="s">
        <v>82</v>
      </c>
      <c r="M16" s="32" t="s">
        <v>83</v>
      </c>
      <c r="N16" s="32" t="s">
        <v>84</v>
      </c>
      <c r="O16" s="153"/>
    </row>
    <row r="17" spans="1:15" ht="16" thickBot="1" x14ac:dyDescent="0.4">
      <c r="A17" s="28" t="s">
        <v>90</v>
      </c>
      <c r="B17" s="33">
        <f>B13</f>
        <v>1</v>
      </c>
      <c r="C17" s="33">
        <f t="shared" ref="C17:D19" si="0">B17+C13</f>
        <v>1</v>
      </c>
      <c r="D17" s="33">
        <f t="shared" si="0"/>
        <v>1</v>
      </c>
      <c r="E17" s="33">
        <f>E13</f>
        <v>3</v>
      </c>
      <c r="F17" s="33">
        <f t="shared" ref="F17:N17" si="1">E17+F13</f>
        <v>3</v>
      </c>
      <c r="G17" s="33">
        <f t="shared" si="1"/>
        <v>3</v>
      </c>
      <c r="H17" s="33">
        <f t="shared" si="1"/>
        <v>3</v>
      </c>
      <c r="I17" s="33">
        <f t="shared" si="1"/>
        <v>3</v>
      </c>
      <c r="J17" s="33">
        <f t="shared" si="1"/>
        <v>3</v>
      </c>
      <c r="K17" s="33">
        <f t="shared" si="1"/>
        <v>3</v>
      </c>
      <c r="L17" s="33">
        <f t="shared" si="1"/>
        <v>3</v>
      </c>
      <c r="M17" s="33">
        <f t="shared" si="1"/>
        <v>3</v>
      </c>
      <c r="N17" s="33">
        <f t="shared" si="1"/>
        <v>3</v>
      </c>
      <c r="O17" s="152"/>
    </row>
    <row r="18" spans="1:15" ht="16" thickBot="1" x14ac:dyDescent="0.4">
      <c r="A18" s="30" t="s">
        <v>91</v>
      </c>
      <c r="B18" s="113">
        <f>B14</f>
        <v>360</v>
      </c>
      <c r="C18" s="113">
        <f t="shared" si="0"/>
        <v>360</v>
      </c>
      <c r="D18" s="113">
        <f t="shared" si="0"/>
        <v>360</v>
      </c>
      <c r="E18" s="113">
        <f>E14</f>
        <v>1080</v>
      </c>
      <c r="F18" s="113">
        <v>924</v>
      </c>
      <c r="G18" s="113">
        <f t="shared" ref="G18:N19" si="2">F18+G14</f>
        <v>924</v>
      </c>
      <c r="H18" s="113">
        <f t="shared" si="2"/>
        <v>924</v>
      </c>
      <c r="I18" s="113">
        <f t="shared" si="2"/>
        <v>924</v>
      </c>
      <c r="J18" s="113">
        <f t="shared" si="2"/>
        <v>924</v>
      </c>
      <c r="K18" s="113">
        <f t="shared" si="2"/>
        <v>924</v>
      </c>
      <c r="L18" s="113">
        <f t="shared" si="2"/>
        <v>924</v>
      </c>
      <c r="M18" s="113">
        <f t="shared" si="2"/>
        <v>924</v>
      </c>
      <c r="N18" s="113">
        <f t="shared" si="2"/>
        <v>924</v>
      </c>
      <c r="O18" s="152"/>
    </row>
    <row r="19" spans="1:15" ht="16" thickBot="1" x14ac:dyDescent="0.4">
      <c r="A19" s="28" t="s">
        <v>52</v>
      </c>
      <c r="B19" s="33">
        <f>B15</f>
        <v>1</v>
      </c>
      <c r="C19" s="33">
        <f t="shared" si="0"/>
        <v>1</v>
      </c>
      <c r="D19" s="33">
        <f t="shared" si="0"/>
        <v>1</v>
      </c>
      <c r="E19" s="33">
        <f>E15</f>
        <v>3</v>
      </c>
      <c r="F19" s="33">
        <f>E19+F15</f>
        <v>3</v>
      </c>
      <c r="G19" s="33">
        <f t="shared" si="2"/>
        <v>3</v>
      </c>
      <c r="H19" s="33">
        <f t="shared" si="2"/>
        <v>3</v>
      </c>
      <c r="I19" s="33">
        <f t="shared" si="2"/>
        <v>3</v>
      </c>
      <c r="J19" s="33">
        <f t="shared" si="2"/>
        <v>3</v>
      </c>
      <c r="K19" s="33">
        <f t="shared" si="2"/>
        <v>3</v>
      </c>
      <c r="L19" s="33">
        <f t="shared" si="2"/>
        <v>3</v>
      </c>
      <c r="M19" s="33">
        <f t="shared" si="2"/>
        <v>3</v>
      </c>
      <c r="N19" s="33">
        <f t="shared" si="2"/>
        <v>3</v>
      </c>
      <c r="O19" s="152"/>
    </row>
    <row r="20" spans="1:15" ht="16" thickBot="1" x14ac:dyDescent="0.4">
      <c r="A20" s="30" t="s">
        <v>92</v>
      </c>
      <c r="B20" s="40">
        <f t="shared" ref="B20:N20" si="3">B18*$D$10/1000/1000</f>
        <v>1.17</v>
      </c>
      <c r="C20" s="40">
        <f t="shared" si="3"/>
        <v>1.17</v>
      </c>
      <c r="D20" s="40">
        <f t="shared" si="3"/>
        <v>1.17</v>
      </c>
      <c r="E20" s="40">
        <f t="shared" si="3"/>
        <v>3.51</v>
      </c>
      <c r="F20" s="40">
        <f t="shared" si="3"/>
        <v>3.0030000000000001</v>
      </c>
      <c r="G20" s="40">
        <f t="shared" si="3"/>
        <v>3.0030000000000001</v>
      </c>
      <c r="H20" s="40">
        <f t="shared" si="3"/>
        <v>3.0030000000000001</v>
      </c>
      <c r="I20" s="40">
        <f t="shared" si="3"/>
        <v>3.0030000000000001</v>
      </c>
      <c r="J20" s="40">
        <f t="shared" si="3"/>
        <v>3.0030000000000001</v>
      </c>
      <c r="K20" s="40">
        <f t="shared" si="3"/>
        <v>3.0030000000000001</v>
      </c>
      <c r="L20" s="40">
        <f t="shared" si="3"/>
        <v>3.0030000000000001</v>
      </c>
      <c r="M20" s="40">
        <f t="shared" si="3"/>
        <v>3.0030000000000001</v>
      </c>
      <c r="N20" s="40">
        <f t="shared" si="3"/>
        <v>3.0030000000000001</v>
      </c>
      <c r="O20" s="154"/>
    </row>
    <row r="21" spans="1:15" ht="16" thickBot="1" x14ac:dyDescent="0.4">
      <c r="A21" s="30" t="s">
        <v>93</v>
      </c>
      <c r="B21" s="112">
        <f>B18*$C$10/1000</f>
        <v>37.44</v>
      </c>
      <c r="C21" s="112">
        <f>C18*$C$10/1000</f>
        <v>37.44</v>
      </c>
      <c r="D21" s="112">
        <f>D18*$C$10/1000</f>
        <v>37.44</v>
      </c>
      <c r="E21" s="112">
        <f>E18*$C$10/1000</f>
        <v>112.32</v>
      </c>
      <c r="F21" s="112">
        <f>((F18)*$C$10/1000)</f>
        <v>96.096000000000004</v>
      </c>
      <c r="G21" s="112">
        <f t="shared" ref="G21:N21" si="4">((G18)*$C$10/1000)</f>
        <v>96.096000000000004</v>
      </c>
      <c r="H21" s="112">
        <f t="shared" si="4"/>
        <v>96.096000000000004</v>
      </c>
      <c r="I21" s="112">
        <f t="shared" si="4"/>
        <v>96.096000000000004</v>
      </c>
      <c r="J21" s="112">
        <f t="shared" si="4"/>
        <v>96.096000000000004</v>
      </c>
      <c r="K21" s="112">
        <f t="shared" si="4"/>
        <v>96.096000000000004</v>
      </c>
      <c r="L21" s="112">
        <f t="shared" si="4"/>
        <v>96.096000000000004</v>
      </c>
      <c r="M21" s="112">
        <f t="shared" si="4"/>
        <v>96.096000000000004</v>
      </c>
      <c r="N21" s="112">
        <f t="shared" si="4"/>
        <v>96.096000000000004</v>
      </c>
      <c r="O21" s="152"/>
    </row>
    <row r="22" spans="1:15" ht="16" thickBot="1" x14ac:dyDescent="0.4">
      <c r="A22" s="30" t="s">
        <v>143</v>
      </c>
      <c r="B22" s="112">
        <f t="shared" ref="B22:N22" si="5">B18*$C$10/1000</f>
        <v>37.44</v>
      </c>
      <c r="C22" s="112">
        <f t="shared" si="5"/>
        <v>37.44</v>
      </c>
      <c r="D22" s="112">
        <f t="shared" si="5"/>
        <v>37.44</v>
      </c>
      <c r="E22" s="112">
        <f t="shared" si="5"/>
        <v>112.32</v>
      </c>
      <c r="F22" s="112">
        <f t="shared" si="5"/>
        <v>96.096000000000004</v>
      </c>
      <c r="G22" s="112">
        <f t="shared" si="5"/>
        <v>96.096000000000004</v>
      </c>
      <c r="H22" s="112">
        <f t="shared" si="5"/>
        <v>96.096000000000004</v>
      </c>
      <c r="I22" s="112">
        <f t="shared" si="5"/>
        <v>96.096000000000004</v>
      </c>
      <c r="J22" s="112">
        <f t="shared" si="5"/>
        <v>96.096000000000004</v>
      </c>
      <c r="K22" s="112">
        <f t="shared" si="5"/>
        <v>96.096000000000004</v>
      </c>
      <c r="L22" s="112">
        <f t="shared" si="5"/>
        <v>96.096000000000004</v>
      </c>
      <c r="M22" s="112">
        <f t="shared" si="5"/>
        <v>96.096000000000004</v>
      </c>
      <c r="N22" s="112">
        <f t="shared" si="5"/>
        <v>96.096000000000004</v>
      </c>
      <c r="O22" s="155"/>
    </row>
    <row r="23" spans="1:15" ht="16" thickBot="1" x14ac:dyDescent="0.4">
      <c r="A23" s="27"/>
      <c r="B23" s="27"/>
      <c r="C23" s="27"/>
      <c r="D23" s="27"/>
      <c r="E23" s="27"/>
      <c r="F23" s="27"/>
      <c r="G23" s="27"/>
      <c r="H23" s="27"/>
      <c r="I23" s="27"/>
      <c r="J23" s="27"/>
      <c r="K23" s="27"/>
      <c r="L23" s="27"/>
      <c r="M23" s="27"/>
      <c r="N23" s="27"/>
      <c r="O23" s="27"/>
    </row>
    <row r="24" spans="1:15" ht="15.5" x14ac:dyDescent="0.35">
      <c r="A24" s="34" t="s">
        <v>40</v>
      </c>
      <c r="B24" s="35" t="s">
        <v>41</v>
      </c>
      <c r="C24" s="35" t="s">
        <v>42</v>
      </c>
      <c r="D24" s="36" t="s">
        <v>43</v>
      </c>
      <c r="E24" s="35" t="s">
        <v>44</v>
      </c>
      <c r="F24" s="36" t="s">
        <v>76</v>
      </c>
      <c r="G24" s="35" t="s">
        <v>77</v>
      </c>
      <c r="H24" s="36" t="s">
        <v>78</v>
      </c>
      <c r="I24" s="35" t="s">
        <v>79</v>
      </c>
      <c r="J24" s="36" t="s">
        <v>80</v>
      </c>
      <c r="K24" s="35" t="s">
        <v>81</v>
      </c>
      <c r="L24" s="36" t="s">
        <v>82</v>
      </c>
      <c r="M24" s="36" t="s">
        <v>83</v>
      </c>
      <c r="N24" s="36" t="s">
        <v>84</v>
      </c>
      <c r="O24" s="36"/>
    </row>
    <row r="25" spans="1:15" ht="15.5" x14ac:dyDescent="0.35">
      <c r="A25" s="37" t="s">
        <v>18</v>
      </c>
      <c r="B25" s="18"/>
      <c r="C25" s="18"/>
      <c r="D25" s="19"/>
      <c r="E25" s="18"/>
      <c r="F25" s="19"/>
      <c r="G25" s="18"/>
      <c r="H25" s="19"/>
      <c r="I25" s="18"/>
      <c r="J25" s="19"/>
      <c r="K25" s="18"/>
      <c r="L25" s="19"/>
      <c r="M25" s="19"/>
      <c r="N25" s="19"/>
      <c r="O25" s="19"/>
    </row>
    <row r="26" spans="1:15" ht="15.5" x14ac:dyDescent="0.35">
      <c r="A26" s="38" t="s">
        <v>51</v>
      </c>
      <c r="B26" s="20"/>
      <c r="C26" s="20"/>
      <c r="D26" s="21"/>
      <c r="E26" s="20"/>
      <c r="F26" s="22"/>
      <c r="G26" s="20"/>
      <c r="H26" s="22"/>
      <c r="I26" s="20"/>
      <c r="J26" s="22"/>
      <c r="K26" s="20"/>
      <c r="L26" s="20"/>
      <c r="M26" s="20"/>
      <c r="N26" s="20"/>
      <c r="O26" s="20"/>
    </row>
    <row r="27" spans="1:15" ht="15.5" x14ac:dyDescent="0.35">
      <c r="A27" s="9" t="s">
        <v>20</v>
      </c>
      <c r="B27" s="17">
        <f t="shared" ref="B27:N27" si="6">B13*$B$7</f>
        <v>80000</v>
      </c>
      <c r="C27" s="17">
        <f t="shared" si="6"/>
        <v>0</v>
      </c>
      <c r="D27" s="17">
        <f t="shared" si="6"/>
        <v>0</v>
      </c>
      <c r="E27" s="17">
        <f t="shared" si="6"/>
        <v>240000</v>
      </c>
      <c r="F27" s="17">
        <f t="shared" si="6"/>
        <v>0</v>
      </c>
      <c r="G27" s="17">
        <f t="shared" si="6"/>
        <v>0</v>
      </c>
      <c r="H27" s="17">
        <f t="shared" si="6"/>
        <v>0</v>
      </c>
      <c r="I27" s="17">
        <f t="shared" si="6"/>
        <v>0</v>
      </c>
      <c r="J27" s="17">
        <f t="shared" si="6"/>
        <v>0</v>
      </c>
      <c r="K27" s="17">
        <f t="shared" si="6"/>
        <v>0</v>
      </c>
      <c r="L27" s="17">
        <f t="shared" si="6"/>
        <v>0</v>
      </c>
      <c r="M27" s="17">
        <f t="shared" si="6"/>
        <v>0</v>
      </c>
      <c r="N27" s="17">
        <f t="shared" si="6"/>
        <v>0</v>
      </c>
      <c r="O27" s="17">
        <f>SUM(B27:N27)</f>
        <v>320000</v>
      </c>
    </row>
    <row r="28" spans="1:15" ht="15.5" x14ac:dyDescent="0.35">
      <c r="A28" s="9" t="s">
        <v>19</v>
      </c>
      <c r="B28" s="59">
        <f t="shared" ref="B28:N28" si="7">B14*$B$10</f>
        <v>165600</v>
      </c>
      <c r="C28" s="23">
        <f t="shared" si="7"/>
        <v>0</v>
      </c>
      <c r="D28" s="23">
        <f t="shared" si="7"/>
        <v>0</v>
      </c>
      <c r="E28" s="23">
        <f t="shared" si="7"/>
        <v>496800</v>
      </c>
      <c r="F28" s="59">
        <f t="shared" si="7"/>
        <v>0</v>
      </c>
      <c r="G28" s="23">
        <f t="shared" si="7"/>
        <v>0</v>
      </c>
      <c r="H28" s="61">
        <f t="shared" si="7"/>
        <v>0</v>
      </c>
      <c r="I28" s="23">
        <f t="shared" si="7"/>
        <v>0</v>
      </c>
      <c r="J28" s="23">
        <f t="shared" si="7"/>
        <v>0</v>
      </c>
      <c r="K28" s="23">
        <f t="shared" si="7"/>
        <v>0</v>
      </c>
      <c r="L28" s="23">
        <f t="shared" si="7"/>
        <v>0</v>
      </c>
      <c r="M28" s="23">
        <f t="shared" si="7"/>
        <v>0</v>
      </c>
      <c r="N28" s="23">
        <f t="shared" si="7"/>
        <v>0</v>
      </c>
      <c r="O28" s="17">
        <f t="shared" ref="O28:O32" si="8">SUM(B28:N28)</f>
        <v>662400</v>
      </c>
    </row>
    <row r="29" spans="1:15" ht="15.5" x14ac:dyDescent="0.35">
      <c r="A29" s="9" t="s">
        <v>52</v>
      </c>
      <c r="B29" s="17">
        <f t="shared" ref="B29:N29" si="9">$B$8*B15</f>
        <v>30000</v>
      </c>
      <c r="C29" s="17">
        <f t="shared" si="9"/>
        <v>0</v>
      </c>
      <c r="D29" s="17">
        <f t="shared" si="9"/>
        <v>0</v>
      </c>
      <c r="E29" s="17">
        <f t="shared" si="9"/>
        <v>90000</v>
      </c>
      <c r="F29" s="17">
        <f t="shared" si="9"/>
        <v>0</v>
      </c>
      <c r="G29" s="17">
        <f t="shared" si="9"/>
        <v>0</v>
      </c>
      <c r="H29" s="17">
        <f t="shared" si="9"/>
        <v>0</v>
      </c>
      <c r="I29" s="17">
        <f t="shared" si="9"/>
        <v>0</v>
      </c>
      <c r="J29" s="17">
        <f t="shared" si="9"/>
        <v>0</v>
      </c>
      <c r="K29" s="17">
        <f t="shared" si="9"/>
        <v>0</v>
      </c>
      <c r="L29" s="17">
        <f t="shared" si="9"/>
        <v>0</v>
      </c>
      <c r="M29" s="17">
        <f t="shared" si="9"/>
        <v>0</v>
      </c>
      <c r="N29" s="17">
        <f t="shared" si="9"/>
        <v>0</v>
      </c>
      <c r="O29" s="17">
        <f t="shared" si="8"/>
        <v>120000</v>
      </c>
    </row>
    <row r="30" spans="1:15" ht="15.5" x14ac:dyDescent="0.35">
      <c r="A30" s="9" t="s">
        <v>21</v>
      </c>
      <c r="B30" s="17">
        <f>($B$9+6600)*B13</f>
        <v>16600</v>
      </c>
      <c r="C30" s="17">
        <f>($B$9+6600)*C13</f>
        <v>0</v>
      </c>
      <c r="D30" s="17">
        <f>($B$9+6600)*D13</f>
        <v>0</v>
      </c>
      <c r="E30" s="17">
        <v>20000</v>
      </c>
      <c r="F30" s="17">
        <f t="shared" ref="F30:N30" si="10">($B$9+6600)*F13</f>
        <v>0</v>
      </c>
      <c r="G30" s="17">
        <f t="shared" si="10"/>
        <v>0</v>
      </c>
      <c r="H30" s="17">
        <f t="shared" si="10"/>
        <v>0</v>
      </c>
      <c r="I30" s="17">
        <f t="shared" si="10"/>
        <v>0</v>
      </c>
      <c r="J30" s="17">
        <f t="shared" si="10"/>
        <v>0</v>
      </c>
      <c r="K30" s="17">
        <f t="shared" si="10"/>
        <v>0</v>
      </c>
      <c r="L30" s="17">
        <f t="shared" si="10"/>
        <v>0</v>
      </c>
      <c r="M30" s="17">
        <f t="shared" si="10"/>
        <v>0</v>
      </c>
      <c r="N30" s="17">
        <f t="shared" si="10"/>
        <v>0</v>
      </c>
      <c r="O30" s="17">
        <f t="shared" si="8"/>
        <v>36600</v>
      </c>
    </row>
    <row r="31" spans="1:15" ht="15.5" x14ac:dyDescent="0.35">
      <c r="A31" s="9" t="s">
        <v>53</v>
      </c>
      <c r="B31" s="23">
        <v>10000</v>
      </c>
      <c r="C31" s="23">
        <v>0</v>
      </c>
      <c r="D31" s="139">
        <v>0</v>
      </c>
      <c r="E31" s="23">
        <v>0</v>
      </c>
      <c r="F31" s="23">
        <v>0</v>
      </c>
      <c r="G31" s="17">
        <v>0</v>
      </c>
      <c r="H31" s="16">
        <v>0</v>
      </c>
      <c r="I31" s="17">
        <v>0</v>
      </c>
      <c r="J31" s="23"/>
      <c r="K31" s="17">
        <v>0</v>
      </c>
      <c r="L31" s="17">
        <v>0</v>
      </c>
      <c r="M31" s="17">
        <v>0</v>
      </c>
      <c r="N31" s="17">
        <v>0</v>
      </c>
      <c r="O31" s="17">
        <f t="shared" si="8"/>
        <v>10000</v>
      </c>
    </row>
    <row r="32" spans="1:15" ht="15.5" x14ac:dyDescent="0.35">
      <c r="A32" s="9" t="s">
        <v>95</v>
      </c>
      <c r="B32" s="23">
        <v>8000</v>
      </c>
      <c r="C32" s="23">
        <v>0</v>
      </c>
      <c r="D32" s="139">
        <v>0</v>
      </c>
      <c r="E32" s="23">
        <v>0</v>
      </c>
      <c r="F32" s="23">
        <v>0</v>
      </c>
      <c r="G32" s="23">
        <v>0</v>
      </c>
      <c r="H32" s="23">
        <v>0</v>
      </c>
      <c r="I32" s="23">
        <v>0</v>
      </c>
      <c r="J32" s="23">
        <v>0</v>
      </c>
      <c r="K32" s="23">
        <v>0</v>
      </c>
      <c r="L32" s="23">
        <v>0</v>
      </c>
      <c r="M32" s="23">
        <v>0</v>
      </c>
      <c r="N32" s="23">
        <v>0</v>
      </c>
      <c r="O32" s="17">
        <f t="shared" si="8"/>
        <v>8000</v>
      </c>
    </row>
    <row r="33" spans="1:15" ht="15.5" x14ac:dyDescent="0.35">
      <c r="A33" s="9" t="s">
        <v>144</v>
      </c>
      <c r="B33" s="23">
        <v>30000</v>
      </c>
      <c r="C33" s="23"/>
      <c r="D33" s="139"/>
      <c r="E33" s="23">
        <v>30000</v>
      </c>
      <c r="F33" s="23"/>
      <c r="G33" s="23"/>
      <c r="H33" s="23">
        <v>30000</v>
      </c>
      <c r="I33" s="23"/>
      <c r="J33" s="23"/>
      <c r="K33" s="23"/>
      <c r="L33" s="23"/>
      <c r="M33" s="23"/>
      <c r="N33" s="23"/>
      <c r="O33" s="17"/>
    </row>
    <row r="34" spans="1:15" ht="15.5" x14ac:dyDescent="0.35">
      <c r="A34" s="9" t="s">
        <v>96</v>
      </c>
      <c r="B34" s="23">
        <v>50000</v>
      </c>
      <c r="C34" s="23"/>
      <c r="D34" s="139"/>
      <c r="E34" s="23">
        <v>75000</v>
      </c>
      <c r="F34" s="23"/>
      <c r="G34" s="23">
        <v>30000</v>
      </c>
      <c r="H34" s="23"/>
      <c r="I34" s="23"/>
      <c r="J34" s="23"/>
      <c r="K34" s="23"/>
      <c r="L34" s="23"/>
      <c r="M34" s="23"/>
      <c r="N34" s="23"/>
      <c r="O34" s="17"/>
    </row>
    <row r="35" spans="1:15" ht="15.5" x14ac:dyDescent="0.35">
      <c r="A35" s="9" t="s">
        <v>145</v>
      </c>
      <c r="B35" s="23">
        <f>E47*2</f>
        <v>67931.135999999999</v>
      </c>
      <c r="C35" s="23"/>
      <c r="D35" s="139"/>
      <c r="E35" s="23"/>
      <c r="F35" s="23"/>
      <c r="G35" s="23"/>
      <c r="H35" s="23"/>
      <c r="I35" s="23"/>
      <c r="J35" s="23"/>
      <c r="K35" s="23"/>
      <c r="L35" s="23"/>
      <c r="M35" s="23"/>
      <c r="N35" s="23"/>
      <c r="O35" s="17"/>
    </row>
    <row r="36" spans="1:15" ht="15.5" x14ac:dyDescent="0.35">
      <c r="A36" s="39" t="s">
        <v>57</v>
      </c>
      <c r="B36" s="24">
        <f>SUM(B27:B35)</f>
        <v>458131.136</v>
      </c>
      <c r="C36" s="24">
        <f>SUM(C27:C32)</f>
        <v>0</v>
      </c>
      <c r="D36" s="24">
        <f>SUM(D27:D32)</f>
        <v>0</v>
      </c>
      <c r="E36" s="24">
        <f>SUM(E27:E34)</f>
        <v>951800</v>
      </c>
      <c r="F36" s="24">
        <f>SUM(F27:F32)</f>
        <v>0</v>
      </c>
      <c r="G36" s="24">
        <f>SUM(G27:G34)</f>
        <v>30000</v>
      </c>
      <c r="H36" s="24">
        <f>SUM(H27:H33)</f>
        <v>30000</v>
      </c>
      <c r="I36" s="24">
        <f t="shared" ref="I36:O36" si="11">SUM(I27:I32)</f>
        <v>0</v>
      </c>
      <c r="J36" s="24">
        <f t="shared" si="11"/>
        <v>0</v>
      </c>
      <c r="K36" s="24">
        <f t="shared" si="11"/>
        <v>0</v>
      </c>
      <c r="L36" s="24">
        <f t="shared" si="11"/>
        <v>0</v>
      </c>
      <c r="M36" s="24">
        <f t="shared" si="11"/>
        <v>0</v>
      </c>
      <c r="N36" s="24">
        <f t="shared" si="11"/>
        <v>0</v>
      </c>
      <c r="O36" s="24">
        <f t="shared" si="11"/>
        <v>1157000</v>
      </c>
    </row>
    <row r="37" spans="1:15" ht="16" thickBot="1" x14ac:dyDescent="0.4">
      <c r="A37" s="10"/>
      <c r="B37" s="17"/>
      <c r="C37" s="17"/>
      <c r="D37" s="16"/>
      <c r="E37" s="17"/>
      <c r="F37" s="8"/>
      <c r="G37" s="17"/>
      <c r="H37" s="8"/>
      <c r="I37" s="17"/>
      <c r="J37" s="8"/>
      <c r="K37" s="17"/>
      <c r="L37" s="8"/>
      <c r="M37" s="8"/>
      <c r="N37" s="8"/>
      <c r="O37" s="8"/>
    </row>
    <row r="38" spans="1:15" ht="16" thickBot="1" x14ac:dyDescent="0.4">
      <c r="A38" s="62" t="s">
        <v>58</v>
      </c>
      <c r="B38" s="63"/>
      <c r="C38" s="63"/>
      <c r="D38" s="63"/>
      <c r="E38" s="63"/>
      <c r="F38" s="63"/>
      <c r="G38" s="63"/>
      <c r="H38" s="63"/>
      <c r="I38" s="63"/>
      <c r="J38" s="63"/>
      <c r="K38" s="63"/>
      <c r="L38" s="63"/>
      <c r="M38" s="63"/>
      <c r="N38" s="63"/>
      <c r="O38" s="63"/>
    </row>
    <row r="39" spans="1:15" ht="15.5" x14ac:dyDescent="0.35">
      <c r="A39" s="67" t="s">
        <v>59</v>
      </c>
      <c r="B39" s="64"/>
      <c r="C39" s="64"/>
      <c r="D39" s="64"/>
      <c r="E39" s="64"/>
      <c r="F39" s="64"/>
      <c r="G39" s="64"/>
      <c r="H39" s="64" t="e">
        <f>#REF!</f>
        <v>#REF!</v>
      </c>
      <c r="I39" s="64" t="e">
        <f>#REF!</f>
        <v>#REF!</v>
      </c>
      <c r="J39" s="64" t="e">
        <f>#REF!</f>
        <v>#REF!</v>
      </c>
      <c r="K39" s="64" t="e">
        <f>#REF!</f>
        <v>#REF!</v>
      </c>
      <c r="L39" s="64" t="e">
        <f>#REF!</f>
        <v>#REF!</v>
      </c>
      <c r="M39" s="64" t="e">
        <f>#REF!</f>
        <v>#REF!</v>
      </c>
      <c r="N39" s="64" t="e">
        <f>#REF!</f>
        <v>#REF!</v>
      </c>
      <c r="O39" s="17" t="e">
        <f>SUM(B39:N39)</f>
        <v>#REF!</v>
      </c>
    </row>
    <row r="40" spans="1:15" ht="16" thickBot="1" x14ac:dyDescent="0.4">
      <c r="A40" s="68" t="s">
        <v>60</v>
      </c>
      <c r="B40" s="60">
        <f t="shared" ref="B40:N40" si="12">SUM(B39:B39)</f>
        <v>0</v>
      </c>
      <c r="C40" s="60">
        <f t="shared" si="12"/>
        <v>0</v>
      </c>
      <c r="D40" s="69">
        <f t="shared" si="12"/>
        <v>0</v>
      </c>
      <c r="E40" s="60">
        <f t="shared" si="12"/>
        <v>0</v>
      </c>
      <c r="F40" s="69">
        <f t="shared" si="12"/>
        <v>0</v>
      </c>
      <c r="G40" s="60">
        <f t="shared" si="12"/>
        <v>0</v>
      </c>
      <c r="H40" s="69" t="e">
        <f t="shared" si="12"/>
        <v>#REF!</v>
      </c>
      <c r="I40" s="60" t="e">
        <f t="shared" si="12"/>
        <v>#REF!</v>
      </c>
      <c r="J40" s="69" t="e">
        <f t="shared" si="12"/>
        <v>#REF!</v>
      </c>
      <c r="K40" s="60" t="e">
        <f t="shared" si="12"/>
        <v>#REF!</v>
      </c>
      <c r="L40" s="69" t="e">
        <f t="shared" si="12"/>
        <v>#REF!</v>
      </c>
      <c r="M40" s="69" t="e">
        <f t="shared" si="12"/>
        <v>#REF!</v>
      </c>
      <c r="N40" s="70" t="e">
        <f t="shared" si="12"/>
        <v>#REF!</v>
      </c>
      <c r="O40" s="17" t="e">
        <f>SUM(#REF!)</f>
        <v>#REF!</v>
      </c>
    </row>
    <row r="41" spans="1:15" ht="16" thickBot="1" x14ac:dyDescent="0.4">
      <c r="A41" s="46" t="s">
        <v>46</v>
      </c>
      <c r="B41" s="47"/>
      <c r="C41" s="47"/>
      <c r="D41" s="47"/>
      <c r="E41" s="47"/>
      <c r="F41" s="47"/>
      <c r="G41" s="47"/>
      <c r="H41" s="47"/>
      <c r="I41" s="47"/>
      <c r="J41" s="47"/>
      <c r="K41" s="47"/>
      <c r="L41" s="47"/>
      <c r="M41" s="47"/>
      <c r="N41" s="47"/>
      <c r="O41" s="47"/>
    </row>
    <row r="42" spans="1:15" ht="15.5" x14ac:dyDescent="0.35">
      <c r="A42" s="43" t="s">
        <v>48</v>
      </c>
      <c r="B42" s="45"/>
      <c r="C42" s="45">
        <f>C21/$A$5*3.125*6*24*28</f>
        <v>0.55499294117647058</v>
      </c>
      <c r="D42" s="45">
        <f t="shared" ref="D42:N42" si="13">D21/$A$5*3.125*6*24*28</f>
        <v>0.55499294117647058</v>
      </c>
      <c r="E42" s="45">
        <f>E21/$A$5*3.125*6*24*28</f>
        <v>1.6649788235294118</v>
      </c>
      <c r="F42" s="45">
        <f t="shared" ref="F42:G42" si="14">F21/$A$5*3.125*6*24*28</f>
        <v>1.424481882352941</v>
      </c>
      <c r="G42" s="45">
        <f t="shared" si="14"/>
        <v>1.424481882352941</v>
      </c>
      <c r="H42" s="45">
        <f>H21/$A$5*3.125*6*24*28</f>
        <v>1.424481882352941</v>
      </c>
      <c r="I42" s="45">
        <f t="shared" si="13"/>
        <v>1.424481882352941</v>
      </c>
      <c r="J42" s="45">
        <f t="shared" si="13"/>
        <v>1.424481882352941</v>
      </c>
      <c r="K42" s="45">
        <f t="shared" si="13"/>
        <v>1.424481882352941</v>
      </c>
      <c r="L42" s="45">
        <f t="shared" si="13"/>
        <v>1.424481882352941</v>
      </c>
      <c r="M42" s="45">
        <f t="shared" si="13"/>
        <v>1.424481882352941</v>
      </c>
      <c r="N42" s="45">
        <f t="shared" si="13"/>
        <v>1.424481882352941</v>
      </c>
      <c r="O42" s="114">
        <f t="shared" ref="O42" si="15">SUM(B42:N42)</f>
        <v>15.595301647058823</v>
      </c>
    </row>
    <row r="43" spans="1:15" ht="15.5" x14ac:dyDescent="0.35">
      <c r="A43" s="43" t="s">
        <v>146</v>
      </c>
      <c r="B43" s="45"/>
      <c r="C43" s="45">
        <f>C42*0.85</f>
        <v>0.471744</v>
      </c>
      <c r="D43" s="45">
        <f t="shared" ref="D43:N43" si="16">D42*0.85</f>
        <v>0.471744</v>
      </c>
      <c r="E43" s="45">
        <f t="shared" si="16"/>
        <v>1.415232</v>
      </c>
      <c r="F43" s="45">
        <f t="shared" si="16"/>
        <v>1.2108095999999999</v>
      </c>
      <c r="G43" s="45">
        <f t="shared" si="16"/>
        <v>1.2108095999999999</v>
      </c>
      <c r="H43" s="45">
        <f>H42*0.85</f>
        <v>1.2108095999999999</v>
      </c>
      <c r="I43" s="45">
        <f t="shared" si="16"/>
        <v>1.2108095999999999</v>
      </c>
      <c r="J43" s="45">
        <f t="shared" si="16"/>
        <v>1.2108095999999999</v>
      </c>
      <c r="K43" s="45">
        <f t="shared" si="16"/>
        <v>1.2108095999999999</v>
      </c>
      <c r="L43" s="45">
        <f t="shared" si="16"/>
        <v>1.2108095999999999</v>
      </c>
      <c r="M43" s="45">
        <f t="shared" si="16"/>
        <v>1.2108095999999999</v>
      </c>
      <c r="N43" s="45">
        <f t="shared" si="16"/>
        <v>1.2108095999999999</v>
      </c>
      <c r="O43" s="114">
        <f t="shared" ref="O43" si="17">SUM(B43:N43)</f>
        <v>13.256006399999997</v>
      </c>
    </row>
    <row r="44" spans="1:15" ht="15.5" x14ac:dyDescent="0.35">
      <c r="A44" s="49" t="s">
        <v>147</v>
      </c>
      <c r="B44" s="42"/>
      <c r="C44" s="129">
        <f>C43*$A$3</f>
        <v>37739.519999999997</v>
      </c>
      <c r="D44" s="129">
        <f>D43*$A$3</f>
        <v>37739.519999999997</v>
      </c>
      <c r="E44" s="129">
        <f t="shared" ref="E44:N44" si="18">E43*$A$3</f>
        <v>113218.56</v>
      </c>
      <c r="F44" s="129">
        <f>F42*$A$3</f>
        <v>113958.55058823529</v>
      </c>
      <c r="G44" s="129">
        <f>G43*$A$3</f>
        <v>96864.767999999996</v>
      </c>
      <c r="H44" s="129">
        <f>H43*$A$3</f>
        <v>96864.767999999996</v>
      </c>
      <c r="I44" s="129">
        <f t="shared" si="18"/>
        <v>96864.767999999996</v>
      </c>
      <c r="J44" s="129">
        <f t="shared" si="18"/>
        <v>96864.767999999996</v>
      </c>
      <c r="K44" s="129">
        <f t="shared" si="18"/>
        <v>96864.767999999996</v>
      </c>
      <c r="L44" s="129">
        <f t="shared" si="18"/>
        <v>96864.767999999996</v>
      </c>
      <c r="M44" s="129">
        <f t="shared" si="18"/>
        <v>96864.767999999996</v>
      </c>
      <c r="N44" s="129">
        <f t="shared" si="18"/>
        <v>96864.767999999996</v>
      </c>
      <c r="O44" s="42">
        <f>SUM(C44:N44)</f>
        <v>1077574.2945882354</v>
      </c>
    </row>
    <row r="45" spans="1:15" ht="16" thickBot="1" x14ac:dyDescent="0.4">
      <c r="A45" s="127"/>
      <c r="B45" s="128"/>
      <c r="C45" s="128"/>
      <c r="D45" s="128"/>
      <c r="E45" s="128"/>
      <c r="F45" s="128"/>
      <c r="G45" s="128"/>
      <c r="H45" s="128"/>
      <c r="I45" s="128"/>
      <c r="J45" s="128"/>
      <c r="K45" s="128"/>
      <c r="L45" s="128"/>
      <c r="M45" s="128"/>
      <c r="N45" s="128"/>
      <c r="O45" s="128"/>
    </row>
    <row r="46" spans="1:15" ht="16" thickBot="1" x14ac:dyDescent="0.4">
      <c r="A46" s="46" t="s">
        <v>102</v>
      </c>
      <c r="B46" s="47"/>
      <c r="C46" s="47"/>
      <c r="D46" s="47"/>
      <c r="E46" s="47"/>
      <c r="F46" s="47"/>
      <c r="G46" s="47"/>
      <c r="H46" s="47"/>
      <c r="I46" s="47"/>
      <c r="J46" s="47"/>
      <c r="K46" s="47"/>
      <c r="L46" s="47"/>
      <c r="M46" s="47"/>
      <c r="N46" s="47"/>
      <c r="O46" s="47"/>
    </row>
    <row r="47" spans="1:15" ht="15.5" x14ac:dyDescent="0.35">
      <c r="A47" s="130" t="s">
        <v>104</v>
      </c>
      <c r="B47" s="163">
        <v>0.3</v>
      </c>
      <c r="C47" s="129">
        <f>$B$47*C44</f>
        <v>11321.855999999998</v>
      </c>
      <c r="D47" s="129">
        <f t="shared" ref="D47:N47" si="19">$B$47*D44</f>
        <v>11321.855999999998</v>
      </c>
      <c r="E47" s="129">
        <f>$B$47*E44</f>
        <v>33965.567999999999</v>
      </c>
      <c r="F47" s="129">
        <f>$B$47*F44</f>
        <v>34187.565176470584</v>
      </c>
      <c r="G47" s="129">
        <f t="shared" si="19"/>
        <v>29059.430399999997</v>
      </c>
      <c r="H47" s="129">
        <f>$B$47*H44</f>
        <v>29059.430399999997</v>
      </c>
      <c r="I47" s="129">
        <f t="shared" si="19"/>
        <v>29059.430399999997</v>
      </c>
      <c r="J47" s="129">
        <f t="shared" si="19"/>
        <v>29059.430399999997</v>
      </c>
      <c r="K47" s="129">
        <f t="shared" si="19"/>
        <v>29059.430399999997</v>
      </c>
      <c r="L47" s="129">
        <f t="shared" si="19"/>
        <v>29059.430399999997</v>
      </c>
      <c r="M47" s="129">
        <f t="shared" si="19"/>
        <v>29059.430399999997</v>
      </c>
      <c r="N47" s="129">
        <f t="shared" si="19"/>
        <v>29059.430399999997</v>
      </c>
      <c r="O47" s="42">
        <f>SUM(C47:N47)</f>
        <v>323272.28837647062</v>
      </c>
    </row>
    <row r="48" spans="1:15" ht="15.5" x14ac:dyDescent="0.35">
      <c r="A48" s="130" t="s">
        <v>148</v>
      </c>
      <c r="B48" s="123"/>
      <c r="C48" s="129"/>
      <c r="D48" s="129"/>
      <c r="E48" s="129"/>
      <c r="F48" s="129">
        <f>0.03*F20*1000*24*30</f>
        <v>64864.799999999996</v>
      </c>
      <c r="G48" s="129"/>
      <c r="H48" s="129"/>
      <c r="I48" s="129"/>
      <c r="J48" s="129"/>
      <c r="K48" s="129"/>
      <c r="L48" s="129"/>
      <c r="M48" s="129"/>
      <c r="N48" s="129"/>
      <c r="O48" s="42"/>
    </row>
    <row r="49" spans="1:15" ht="15.5" x14ac:dyDescent="0.35">
      <c r="A49" s="130" t="s">
        <v>149</v>
      </c>
      <c r="B49" s="123"/>
      <c r="C49" s="129"/>
      <c r="D49" s="129"/>
      <c r="E49" s="129"/>
      <c r="F49" s="129"/>
      <c r="G49" s="129"/>
      <c r="H49" s="129"/>
      <c r="I49" s="129"/>
      <c r="J49" s="129"/>
      <c r="K49" s="129"/>
      <c r="L49" s="129"/>
      <c r="M49" s="129"/>
      <c r="N49" s="129"/>
      <c r="O49" s="42"/>
    </row>
    <row r="50" spans="1:15" ht="15.5" x14ac:dyDescent="0.35">
      <c r="A50" s="130" t="s">
        <v>150</v>
      </c>
      <c r="B50" s="123"/>
      <c r="C50" s="129"/>
      <c r="D50" s="129"/>
      <c r="E50" s="129"/>
      <c r="F50" s="129"/>
      <c r="G50" s="129"/>
      <c r="H50" s="129"/>
      <c r="I50" s="129"/>
      <c r="J50" s="129"/>
      <c r="K50" s="129"/>
      <c r="L50" s="129"/>
      <c r="M50" s="129"/>
      <c r="N50" s="129"/>
      <c r="O50" s="42"/>
    </row>
    <row r="51" spans="1:15" ht="15.5" x14ac:dyDescent="0.35">
      <c r="A51" s="126" t="s">
        <v>151</v>
      </c>
      <c r="B51" s="131"/>
      <c r="C51" s="42">
        <f>C44-C47</f>
        <v>26417.663999999997</v>
      </c>
      <c r="D51" s="42">
        <f t="shared" ref="D51:N51" si="20">D44-D47</f>
        <v>26417.663999999997</v>
      </c>
      <c r="E51" s="42">
        <f t="shared" si="20"/>
        <v>79252.991999999998</v>
      </c>
      <c r="F51" s="42">
        <f>F44-F47</f>
        <v>79770.985411764705</v>
      </c>
      <c r="G51" s="42">
        <f>G44-G47</f>
        <v>67805.337599999999</v>
      </c>
      <c r="H51" s="42">
        <f>H44-H47</f>
        <v>67805.337599999999</v>
      </c>
      <c r="I51" s="42">
        <f t="shared" si="20"/>
        <v>67805.337599999999</v>
      </c>
      <c r="J51" s="42">
        <f t="shared" si="20"/>
        <v>67805.337599999999</v>
      </c>
      <c r="K51" s="42">
        <f t="shared" si="20"/>
        <v>67805.337599999999</v>
      </c>
      <c r="L51" s="42">
        <f t="shared" si="20"/>
        <v>67805.337599999999</v>
      </c>
      <c r="M51" s="42">
        <f t="shared" si="20"/>
        <v>67805.337599999999</v>
      </c>
      <c r="N51" s="42">
        <f t="shared" si="20"/>
        <v>67805.337599999999</v>
      </c>
      <c r="O51" s="42">
        <f>SUM(C51:N51)</f>
        <v>754302.00621176453</v>
      </c>
    </row>
    <row r="52" spans="1:15" ht="15" thickBot="1" x14ac:dyDescent="0.4">
      <c r="G52" t="s">
        <v>45</v>
      </c>
    </row>
    <row r="53" spans="1:15" ht="16" thickBot="1" x14ac:dyDescent="0.4">
      <c r="A53" s="46" t="s">
        <v>40</v>
      </c>
      <c r="B53" s="47"/>
      <c r="C53" s="47"/>
      <c r="D53" s="47"/>
      <c r="E53" s="47"/>
      <c r="F53" s="47"/>
      <c r="G53" s="47"/>
      <c r="H53" s="47"/>
      <c r="I53" s="47"/>
      <c r="J53" s="47"/>
      <c r="K53" s="47"/>
      <c r="L53" s="47"/>
      <c r="M53" s="47"/>
      <c r="N53" s="47"/>
      <c r="O53" s="47"/>
    </row>
    <row r="54" spans="1:15" ht="15.5" x14ac:dyDescent="0.35">
      <c r="A54" s="48" t="s">
        <v>51</v>
      </c>
      <c r="B54" s="44">
        <f t="shared" ref="B54:N54" si="21">B36</f>
        <v>458131.136</v>
      </c>
      <c r="C54" s="44">
        <f t="shared" si="21"/>
        <v>0</v>
      </c>
      <c r="D54" s="44">
        <f t="shared" si="21"/>
        <v>0</v>
      </c>
      <c r="E54" s="44">
        <f t="shared" si="21"/>
        <v>951800</v>
      </c>
      <c r="F54" s="44">
        <f t="shared" si="21"/>
        <v>0</v>
      </c>
      <c r="G54" s="44">
        <f t="shared" si="21"/>
        <v>30000</v>
      </c>
      <c r="H54" s="44">
        <f t="shared" si="21"/>
        <v>30000</v>
      </c>
      <c r="I54" s="44">
        <f t="shared" si="21"/>
        <v>0</v>
      </c>
      <c r="J54" s="44">
        <f t="shared" si="21"/>
        <v>0</v>
      </c>
      <c r="K54" s="44">
        <f t="shared" si="21"/>
        <v>0</v>
      </c>
      <c r="L54" s="44">
        <f t="shared" si="21"/>
        <v>0</v>
      </c>
      <c r="M54" s="44">
        <f t="shared" si="21"/>
        <v>0</v>
      </c>
      <c r="N54" s="44">
        <f t="shared" si="21"/>
        <v>0</v>
      </c>
    </row>
    <row r="55" spans="1:15" ht="15.5" x14ac:dyDescent="0.35">
      <c r="A55" s="49" t="s">
        <v>108</v>
      </c>
      <c r="B55" s="41">
        <f t="shared" ref="B55:N55" si="22">B40</f>
        <v>0</v>
      </c>
      <c r="C55" s="41">
        <f t="shared" si="22"/>
        <v>0</v>
      </c>
      <c r="D55" s="41">
        <f t="shared" si="22"/>
        <v>0</v>
      </c>
      <c r="E55" s="41">
        <f t="shared" si="22"/>
        <v>0</v>
      </c>
      <c r="F55" s="41">
        <f t="shared" si="22"/>
        <v>0</v>
      </c>
      <c r="G55" s="41">
        <f t="shared" si="22"/>
        <v>0</v>
      </c>
      <c r="H55" s="41" t="e">
        <f t="shared" si="22"/>
        <v>#REF!</v>
      </c>
      <c r="I55" s="41" t="e">
        <f t="shared" si="22"/>
        <v>#REF!</v>
      </c>
      <c r="J55" s="41" t="e">
        <f t="shared" si="22"/>
        <v>#REF!</v>
      </c>
      <c r="K55" s="41" t="e">
        <f t="shared" si="22"/>
        <v>#REF!</v>
      </c>
      <c r="L55" s="41" t="e">
        <f t="shared" si="22"/>
        <v>#REF!</v>
      </c>
      <c r="M55" s="41" t="e">
        <f t="shared" si="22"/>
        <v>#REF!</v>
      </c>
      <c r="N55" s="41" t="e">
        <f t="shared" si="22"/>
        <v>#REF!</v>
      </c>
    </row>
    <row r="56" spans="1:15" ht="15.5" x14ac:dyDescent="0.35">
      <c r="A56" s="49" t="s">
        <v>46</v>
      </c>
      <c r="B56" s="41"/>
      <c r="C56" s="41">
        <f>C51</f>
        <v>26417.663999999997</v>
      </c>
      <c r="D56" s="41">
        <f t="shared" ref="D56:N56" si="23">D51</f>
        <v>26417.663999999997</v>
      </c>
      <c r="E56" s="41">
        <f t="shared" si="23"/>
        <v>79252.991999999998</v>
      </c>
      <c r="F56" s="41">
        <f t="shared" si="23"/>
        <v>79770.985411764705</v>
      </c>
      <c r="G56" s="41">
        <f t="shared" si="23"/>
        <v>67805.337599999999</v>
      </c>
      <c r="H56" s="41">
        <f>H51</f>
        <v>67805.337599999999</v>
      </c>
      <c r="I56" s="41">
        <f t="shared" si="23"/>
        <v>67805.337599999999</v>
      </c>
      <c r="J56" s="41">
        <f t="shared" si="23"/>
        <v>67805.337599999999</v>
      </c>
      <c r="K56" s="41">
        <f t="shared" si="23"/>
        <v>67805.337599999999</v>
      </c>
      <c r="L56" s="41">
        <f t="shared" si="23"/>
        <v>67805.337599999999</v>
      </c>
      <c r="M56" s="41">
        <f t="shared" si="23"/>
        <v>67805.337599999999</v>
      </c>
      <c r="N56" s="41">
        <f t="shared" si="23"/>
        <v>67805.337599999999</v>
      </c>
    </row>
    <row r="57" spans="1:15" ht="15.5" x14ac:dyDescent="0.35">
      <c r="A57" s="50" t="s">
        <v>109</v>
      </c>
      <c r="B57" s="125">
        <f>B36+C36</f>
        <v>458131.136</v>
      </c>
      <c r="C57" s="41">
        <f>B59</f>
        <v>0</v>
      </c>
      <c r="D57" s="41">
        <f t="shared" ref="D57:N57" si="24">C59</f>
        <v>26417.663999999997</v>
      </c>
      <c r="E57" s="41">
        <f t="shared" si="24"/>
        <v>52835.327999999994</v>
      </c>
      <c r="F57" s="41">
        <f t="shared" si="24"/>
        <v>-819711.68</v>
      </c>
      <c r="G57" s="41">
        <f t="shared" si="24"/>
        <v>-739940.69458823535</v>
      </c>
      <c r="H57" s="41">
        <f t="shared" si="24"/>
        <v>-702135.35698823538</v>
      </c>
      <c r="I57" s="41" t="e">
        <f t="shared" si="24"/>
        <v>#REF!</v>
      </c>
      <c r="J57" s="41" t="e">
        <f t="shared" si="24"/>
        <v>#REF!</v>
      </c>
      <c r="K57" s="41" t="e">
        <f t="shared" si="24"/>
        <v>#REF!</v>
      </c>
      <c r="L57" s="41" t="e">
        <f t="shared" si="24"/>
        <v>#REF!</v>
      </c>
      <c r="M57" s="41" t="e">
        <f t="shared" si="24"/>
        <v>#REF!</v>
      </c>
      <c r="N57" s="41" t="e">
        <f t="shared" si="24"/>
        <v>#REF!</v>
      </c>
    </row>
    <row r="58" spans="1:15" ht="15.5" x14ac:dyDescent="0.35">
      <c r="A58" s="50" t="s">
        <v>110</v>
      </c>
      <c r="B58" s="41">
        <f>B56-B54-B55</f>
        <v>-458131.136</v>
      </c>
      <c r="C58" s="41">
        <f t="shared" ref="C58:N58" si="25">C56-C54-C55</f>
        <v>26417.663999999997</v>
      </c>
      <c r="D58" s="41">
        <f t="shared" si="25"/>
        <v>26417.663999999997</v>
      </c>
      <c r="E58" s="41">
        <f t="shared" si="25"/>
        <v>-872547.00800000003</v>
      </c>
      <c r="F58" s="41">
        <f t="shared" si="25"/>
        <v>79770.985411764705</v>
      </c>
      <c r="G58" s="41">
        <f t="shared" si="25"/>
        <v>37805.337599999999</v>
      </c>
      <c r="H58" s="41" t="e">
        <f t="shared" si="25"/>
        <v>#REF!</v>
      </c>
      <c r="I58" s="41" t="e">
        <f t="shared" si="25"/>
        <v>#REF!</v>
      </c>
      <c r="J58" s="41" t="e">
        <f t="shared" si="25"/>
        <v>#REF!</v>
      </c>
      <c r="K58" s="41" t="e">
        <f t="shared" si="25"/>
        <v>#REF!</v>
      </c>
      <c r="L58" s="41" t="e">
        <f t="shared" si="25"/>
        <v>#REF!</v>
      </c>
      <c r="M58" s="41" t="e">
        <f t="shared" si="25"/>
        <v>#REF!</v>
      </c>
      <c r="N58" s="41" t="e">
        <f t="shared" si="25"/>
        <v>#REF!</v>
      </c>
    </row>
    <row r="59" spans="1:15" ht="15.5" x14ac:dyDescent="0.35">
      <c r="A59" s="50" t="s">
        <v>111</v>
      </c>
      <c r="B59" s="41">
        <f>B58+B57</f>
        <v>0</v>
      </c>
      <c r="C59" s="41">
        <f>C58+C57</f>
        <v>26417.663999999997</v>
      </c>
      <c r="D59" s="41">
        <f t="shared" ref="D59:N59" si="26">D58+D57</f>
        <v>52835.327999999994</v>
      </c>
      <c r="E59" s="41">
        <f t="shared" si="26"/>
        <v>-819711.68</v>
      </c>
      <c r="F59" s="41">
        <f>F58+F57</f>
        <v>-739940.69458823535</v>
      </c>
      <c r="G59" s="41">
        <f t="shared" si="26"/>
        <v>-702135.35698823538</v>
      </c>
      <c r="H59" s="41" t="e">
        <f t="shared" si="26"/>
        <v>#REF!</v>
      </c>
      <c r="I59" s="41" t="e">
        <f t="shared" si="26"/>
        <v>#REF!</v>
      </c>
      <c r="J59" s="41" t="e">
        <f t="shared" si="26"/>
        <v>#REF!</v>
      </c>
      <c r="K59" s="41" t="e">
        <f t="shared" si="26"/>
        <v>#REF!</v>
      </c>
      <c r="L59" s="41" t="e">
        <f t="shared" si="26"/>
        <v>#REF!</v>
      </c>
      <c r="M59" s="41" t="e">
        <f t="shared" si="26"/>
        <v>#REF!</v>
      </c>
      <c r="N59" s="41" t="e">
        <f t="shared" si="26"/>
        <v>#REF!</v>
      </c>
    </row>
    <row r="60" spans="1:15" x14ac:dyDescent="0.35">
      <c r="E60" s="14"/>
      <c r="F60" s="14"/>
      <c r="G60" s="14"/>
    </row>
    <row r="61" spans="1:15" ht="15.5" x14ac:dyDescent="0.35">
      <c r="A61" s="132" t="s">
        <v>152</v>
      </c>
      <c r="B61">
        <v>1.43</v>
      </c>
      <c r="E61" s="14"/>
    </row>
    <row r="62" spans="1:15" ht="15.5" x14ac:dyDescent="0.35">
      <c r="A62" s="50" t="s">
        <v>109</v>
      </c>
      <c r="B62" s="125">
        <f>B57*$B$61</f>
        <v>655127.52448000002</v>
      </c>
      <c r="C62" s="41">
        <f t="shared" ref="C62:N62" si="27">C57*$B$61</f>
        <v>0</v>
      </c>
      <c r="D62" s="41">
        <f t="shared" si="27"/>
        <v>37777.259519999992</v>
      </c>
      <c r="E62" s="41">
        <f t="shared" si="27"/>
        <v>75554.519039999985</v>
      </c>
      <c r="F62" s="41">
        <f t="shared" si="27"/>
        <v>-1172187.7024000001</v>
      </c>
      <c r="G62" s="41">
        <f t="shared" si="27"/>
        <v>-1058115.1932611766</v>
      </c>
      <c r="H62" s="41">
        <f t="shared" si="27"/>
        <v>-1004053.5604931766</v>
      </c>
      <c r="I62" s="41" t="e">
        <f t="shared" si="27"/>
        <v>#REF!</v>
      </c>
      <c r="J62" s="41" t="e">
        <f t="shared" si="27"/>
        <v>#REF!</v>
      </c>
      <c r="K62" s="41" t="e">
        <f t="shared" si="27"/>
        <v>#REF!</v>
      </c>
      <c r="L62" s="41" t="e">
        <f t="shared" si="27"/>
        <v>#REF!</v>
      </c>
      <c r="M62" s="41" t="e">
        <f t="shared" si="27"/>
        <v>#REF!</v>
      </c>
      <c r="N62" s="41" t="e">
        <f t="shared" si="27"/>
        <v>#REF!</v>
      </c>
    </row>
    <row r="63" spans="1:15" ht="15.5" x14ac:dyDescent="0.35">
      <c r="A63" s="50" t="s">
        <v>110</v>
      </c>
      <c r="B63" s="41">
        <f t="shared" ref="B63:N64" si="28">B58*$B$61</f>
        <v>-655127.52448000002</v>
      </c>
      <c r="C63" s="41">
        <f t="shared" si="28"/>
        <v>37777.259519999992</v>
      </c>
      <c r="D63" s="41">
        <f t="shared" si="28"/>
        <v>37777.259519999992</v>
      </c>
      <c r="E63" s="41">
        <f t="shared" si="28"/>
        <v>-1247742.22144</v>
      </c>
      <c r="F63" s="41">
        <f t="shared" si="28"/>
        <v>114072.50913882352</v>
      </c>
      <c r="G63" s="41">
        <f t="shared" si="28"/>
        <v>54061.632767999996</v>
      </c>
      <c r="H63" s="41" t="e">
        <f t="shared" si="28"/>
        <v>#REF!</v>
      </c>
      <c r="I63" s="41" t="e">
        <f t="shared" si="28"/>
        <v>#REF!</v>
      </c>
      <c r="J63" s="41" t="e">
        <f t="shared" si="28"/>
        <v>#REF!</v>
      </c>
      <c r="K63" s="41" t="e">
        <f t="shared" si="28"/>
        <v>#REF!</v>
      </c>
      <c r="L63" s="41" t="e">
        <f t="shared" si="28"/>
        <v>#REF!</v>
      </c>
      <c r="M63" s="41" t="e">
        <f t="shared" si="28"/>
        <v>#REF!</v>
      </c>
      <c r="N63" s="41" t="e">
        <f t="shared" si="28"/>
        <v>#REF!</v>
      </c>
    </row>
    <row r="64" spans="1:15" ht="15.5" x14ac:dyDescent="0.35">
      <c r="A64" s="50" t="s">
        <v>111</v>
      </c>
      <c r="B64" s="41">
        <f t="shared" si="28"/>
        <v>0</v>
      </c>
      <c r="C64" s="41">
        <f t="shared" si="28"/>
        <v>37777.259519999992</v>
      </c>
      <c r="D64" s="41">
        <f t="shared" si="28"/>
        <v>75554.519039999985</v>
      </c>
      <c r="E64" s="41">
        <f t="shared" si="28"/>
        <v>-1172187.7024000001</v>
      </c>
      <c r="F64" s="41">
        <f t="shared" si="28"/>
        <v>-1058115.1932611766</v>
      </c>
      <c r="G64" s="41">
        <f t="shared" si="28"/>
        <v>-1004053.5604931766</v>
      </c>
      <c r="H64" s="41" t="e">
        <f t="shared" si="28"/>
        <v>#REF!</v>
      </c>
      <c r="I64" s="41" t="e">
        <f t="shared" si="28"/>
        <v>#REF!</v>
      </c>
      <c r="J64" s="41" t="e">
        <f t="shared" si="28"/>
        <v>#REF!</v>
      </c>
      <c r="K64" s="41" t="e">
        <f t="shared" si="28"/>
        <v>#REF!</v>
      </c>
      <c r="L64" s="41" t="e">
        <f t="shared" si="28"/>
        <v>#REF!</v>
      </c>
      <c r="M64" s="41" t="e">
        <f t="shared" si="28"/>
        <v>#REF!</v>
      </c>
      <c r="N64" s="41" t="e">
        <f t="shared" si="28"/>
        <v>#REF!</v>
      </c>
    </row>
    <row r="66" spans="5:10" x14ac:dyDescent="0.35">
      <c r="E66" s="158">
        <v>1</v>
      </c>
      <c r="F66" s="14">
        <v>10755.76</v>
      </c>
      <c r="G66" t="s">
        <v>153</v>
      </c>
      <c r="J66" s="14"/>
    </row>
    <row r="67" spans="5:10" x14ac:dyDescent="0.35">
      <c r="E67" s="158">
        <v>0.85</v>
      </c>
      <c r="F67" s="13">
        <f>91423.99/10</f>
        <v>9142.3990000000013</v>
      </c>
      <c r="G67" t="s">
        <v>154</v>
      </c>
    </row>
    <row r="70" spans="5:10" x14ac:dyDescent="0.35">
      <c r="F70" s="14">
        <f>F66*2*10</f>
        <v>215115.2</v>
      </c>
    </row>
  </sheetData>
  <phoneticPr fontId="16" type="noConversion"/>
  <conditionalFormatting sqref="B59:N59">
    <cfRule type="cellIs" dxfId="1" priority="5" operator="lessThan">
      <formula>0</formula>
    </cfRule>
  </conditionalFormatting>
  <conditionalFormatting sqref="B64:N64">
    <cfRule type="cellIs" dxfId="0" priority="6" operator="lessThan">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90F2-FEA8-410B-86CA-36FDA4BCD043}">
  <dimension ref="A1:H32"/>
  <sheetViews>
    <sheetView workbookViewId="0">
      <selection activeCell="H26" sqref="H26"/>
    </sheetView>
  </sheetViews>
  <sheetFormatPr defaultRowHeight="14.5" x14ac:dyDescent="0.35"/>
  <cols>
    <col min="4" max="4" width="44.7265625" customWidth="1"/>
    <col min="5" max="5" width="14.26953125" style="138" bestFit="1" customWidth="1"/>
    <col min="6" max="6" width="14.26953125" style="13" bestFit="1" customWidth="1"/>
  </cols>
  <sheetData>
    <row r="1" spans="1:8" x14ac:dyDescent="0.35">
      <c r="A1" s="140" t="s">
        <v>112</v>
      </c>
      <c r="B1" s="141"/>
      <c r="C1" s="141"/>
      <c r="D1" s="141" t="s">
        <v>113</v>
      </c>
      <c r="E1" s="145" t="s">
        <v>114</v>
      </c>
      <c r="F1" s="142" t="s">
        <v>115</v>
      </c>
      <c r="G1" s="141" t="s">
        <v>116</v>
      </c>
      <c r="H1" s="136">
        <v>1.4</v>
      </c>
    </row>
    <row r="2" spans="1:8" x14ac:dyDescent="0.35">
      <c r="A2" s="143"/>
      <c r="B2" s="143">
        <v>1.1000000000000001</v>
      </c>
      <c r="C2" s="143"/>
      <c r="D2" s="143" t="s">
        <v>90</v>
      </c>
      <c r="E2" s="146">
        <f>SUM(E3:E3)</f>
        <v>240000</v>
      </c>
      <c r="F2" s="144">
        <f t="shared" ref="F2:F32" si="0">E2*$H$1</f>
        <v>336000</v>
      </c>
    </row>
    <row r="3" spans="1:8" x14ac:dyDescent="0.35">
      <c r="C3" t="s">
        <v>117</v>
      </c>
      <c r="D3" t="s">
        <v>155</v>
      </c>
      <c r="E3" s="138">
        <f>'Site2 Overview'!B24</f>
        <v>240000</v>
      </c>
      <c r="F3" s="13">
        <f t="shared" si="0"/>
        <v>336000</v>
      </c>
    </row>
    <row r="4" spans="1:8" x14ac:dyDescent="0.35">
      <c r="A4" s="143"/>
      <c r="B4" s="143">
        <v>1.2</v>
      </c>
      <c r="C4" s="143"/>
      <c r="D4" s="143" t="s">
        <v>19</v>
      </c>
      <c r="E4" s="146">
        <f>SUM(E5:E5)</f>
        <v>432000</v>
      </c>
      <c r="F4" s="144">
        <f t="shared" si="0"/>
        <v>604800</v>
      </c>
    </row>
    <row r="5" spans="1:8" x14ac:dyDescent="0.35">
      <c r="C5" t="s">
        <v>121</v>
      </c>
      <c r="D5" t="s">
        <v>156</v>
      </c>
      <c r="E5" s="138">
        <f>'Site2 Overview'!B26</f>
        <v>432000</v>
      </c>
      <c r="F5" s="13">
        <f t="shared" si="0"/>
        <v>604800</v>
      </c>
    </row>
    <row r="6" spans="1:8" x14ac:dyDescent="0.35">
      <c r="A6" s="143"/>
      <c r="B6" s="143">
        <v>1.3</v>
      </c>
      <c r="C6" s="143"/>
      <c r="D6" s="143" t="s">
        <v>52</v>
      </c>
      <c r="E6" s="146">
        <f>SUM(E7:E7)</f>
        <v>90000</v>
      </c>
      <c r="F6" s="144">
        <f t="shared" si="0"/>
        <v>125999.99999999999</v>
      </c>
    </row>
    <row r="7" spans="1:8" x14ac:dyDescent="0.35">
      <c r="C7" t="s">
        <v>125</v>
      </c>
      <c r="D7" t="s">
        <v>157</v>
      </c>
      <c r="E7" s="138">
        <f>'Site2 Overview'!B27</f>
        <v>90000</v>
      </c>
      <c r="F7" s="13">
        <f t="shared" si="0"/>
        <v>125999.99999999999</v>
      </c>
    </row>
    <row r="8" spans="1:8" x14ac:dyDescent="0.35">
      <c r="A8" s="143"/>
      <c r="B8" s="143">
        <v>1.4</v>
      </c>
      <c r="C8" s="143"/>
      <c r="D8" s="143" t="s">
        <v>129</v>
      </c>
      <c r="E8" s="146">
        <f>SUM(E9:E10)</f>
        <v>70000</v>
      </c>
      <c r="F8" s="144">
        <f t="shared" si="0"/>
        <v>98000</v>
      </c>
    </row>
    <row r="9" spans="1:8" x14ac:dyDescent="0.35">
      <c r="C9" t="s">
        <v>130</v>
      </c>
      <c r="D9" t="s">
        <v>131</v>
      </c>
      <c r="E9" s="138">
        <f>12000*5</f>
        <v>60000</v>
      </c>
      <c r="F9" s="13">
        <f t="shared" si="0"/>
        <v>84000</v>
      </c>
    </row>
    <row r="10" spans="1:8" x14ac:dyDescent="0.35">
      <c r="C10" t="s">
        <v>132</v>
      </c>
      <c r="D10" t="s">
        <v>133</v>
      </c>
      <c r="E10" s="138">
        <f>2000*5</f>
        <v>10000</v>
      </c>
      <c r="F10" s="13">
        <f t="shared" si="0"/>
        <v>14000</v>
      </c>
    </row>
    <row r="11" spans="1:8" x14ac:dyDescent="0.35">
      <c r="A11" s="143"/>
      <c r="B11" s="143">
        <v>1.5</v>
      </c>
      <c r="C11" s="143"/>
      <c r="D11" s="143" t="s">
        <v>134</v>
      </c>
      <c r="E11" s="146">
        <f>SUM(E12:E15)</f>
        <v>18000</v>
      </c>
      <c r="F11" s="144">
        <f t="shared" si="0"/>
        <v>25200</v>
      </c>
    </row>
    <row r="12" spans="1:8" x14ac:dyDescent="0.35">
      <c r="D12" t="s">
        <v>135</v>
      </c>
      <c r="E12" s="138">
        <v>12000</v>
      </c>
      <c r="F12" s="13">
        <f t="shared" si="0"/>
        <v>16800</v>
      </c>
    </row>
    <row r="13" spans="1:8" x14ac:dyDescent="0.35">
      <c r="D13" t="s">
        <v>136</v>
      </c>
      <c r="E13" s="138">
        <v>2000</v>
      </c>
      <c r="F13" s="13">
        <f t="shared" si="0"/>
        <v>2800</v>
      </c>
    </row>
    <row r="14" spans="1:8" x14ac:dyDescent="0.35">
      <c r="D14" t="s">
        <v>137</v>
      </c>
      <c r="E14" s="138">
        <v>2000</v>
      </c>
      <c r="F14" s="13">
        <f t="shared" si="0"/>
        <v>2800</v>
      </c>
    </row>
    <row r="15" spans="1:8" x14ac:dyDescent="0.35">
      <c r="D15" t="s">
        <v>138</v>
      </c>
      <c r="E15" s="138">
        <v>2000</v>
      </c>
      <c r="F15" s="13">
        <f t="shared" si="0"/>
        <v>2800</v>
      </c>
    </row>
    <row r="16" spans="1:8" x14ac:dyDescent="0.35">
      <c r="A16" s="143"/>
      <c r="B16" s="143">
        <v>1.6</v>
      </c>
      <c r="C16" s="143"/>
      <c r="D16" s="143" t="s">
        <v>139</v>
      </c>
      <c r="E16" s="146">
        <f>SUM(E17:E20)</f>
        <v>5500</v>
      </c>
      <c r="F16" s="144">
        <f t="shared" si="0"/>
        <v>7699.9999999999991</v>
      </c>
    </row>
    <row r="17" spans="1:6" x14ac:dyDescent="0.35">
      <c r="D17" t="s">
        <v>135</v>
      </c>
      <c r="E17" s="138">
        <v>1500</v>
      </c>
      <c r="F17" s="13">
        <f t="shared" si="0"/>
        <v>2100</v>
      </c>
    </row>
    <row r="18" spans="1:6" x14ac:dyDescent="0.35">
      <c r="D18" t="s">
        <v>136</v>
      </c>
      <c r="E18" s="138">
        <v>1000</v>
      </c>
      <c r="F18" s="13">
        <f t="shared" si="0"/>
        <v>1400</v>
      </c>
    </row>
    <row r="19" spans="1:6" x14ac:dyDescent="0.35">
      <c r="D19" t="s">
        <v>137</v>
      </c>
      <c r="E19" s="138">
        <v>1000</v>
      </c>
      <c r="F19" s="13">
        <f t="shared" si="0"/>
        <v>1400</v>
      </c>
    </row>
    <row r="20" spans="1:6" x14ac:dyDescent="0.35">
      <c r="D20" t="s">
        <v>138</v>
      </c>
      <c r="E20" s="138">
        <v>2000</v>
      </c>
      <c r="F20" s="13">
        <f t="shared" si="0"/>
        <v>2800</v>
      </c>
    </row>
    <row r="21" spans="1:6" x14ac:dyDescent="0.35">
      <c r="A21" s="143"/>
      <c r="B21" s="143">
        <v>1.7</v>
      </c>
      <c r="C21" s="143"/>
      <c r="D21" s="143" t="s">
        <v>21</v>
      </c>
      <c r="E21" s="146">
        <f>SUM(E22:E25)</f>
        <v>0</v>
      </c>
      <c r="F21" s="144">
        <f t="shared" si="0"/>
        <v>0</v>
      </c>
    </row>
    <row r="22" spans="1:6" x14ac:dyDescent="0.35">
      <c r="F22" s="13">
        <f t="shared" si="0"/>
        <v>0</v>
      </c>
    </row>
    <row r="23" spans="1:6" x14ac:dyDescent="0.35">
      <c r="F23" s="13">
        <f t="shared" si="0"/>
        <v>0</v>
      </c>
    </row>
    <row r="24" spans="1:6" x14ac:dyDescent="0.35">
      <c r="F24" s="13">
        <f t="shared" si="0"/>
        <v>0</v>
      </c>
    </row>
    <row r="25" spans="1:6" x14ac:dyDescent="0.35">
      <c r="F25" s="13">
        <f t="shared" si="0"/>
        <v>0</v>
      </c>
    </row>
    <row r="26" spans="1:6" x14ac:dyDescent="0.35">
      <c r="F26" s="13">
        <f t="shared" si="0"/>
        <v>0</v>
      </c>
    </row>
    <row r="27" spans="1:6" x14ac:dyDescent="0.35">
      <c r="A27" s="143"/>
      <c r="B27" s="143">
        <v>1.8</v>
      </c>
      <c r="C27" s="143"/>
      <c r="D27" s="143" t="s">
        <v>140</v>
      </c>
      <c r="E27" s="146">
        <f>SUM(E28:E31)</f>
        <v>0</v>
      </c>
      <c r="F27" s="144">
        <f t="shared" si="0"/>
        <v>0</v>
      </c>
    </row>
    <row r="28" spans="1:6" x14ac:dyDescent="0.35">
      <c r="F28" s="13">
        <f t="shared" si="0"/>
        <v>0</v>
      </c>
    </row>
    <row r="29" spans="1:6" x14ac:dyDescent="0.35">
      <c r="F29" s="13">
        <f t="shared" si="0"/>
        <v>0</v>
      </c>
    </row>
    <row r="30" spans="1:6" x14ac:dyDescent="0.35">
      <c r="F30" s="13">
        <f t="shared" si="0"/>
        <v>0</v>
      </c>
    </row>
    <row r="31" spans="1:6" x14ac:dyDescent="0.35">
      <c r="F31" s="13">
        <f t="shared" si="0"/>
        <v>0</v>
      </c>
    </row>
    <row r="32" spans="1:6" x14ac:dyDescent="0.35">
      <c r="F32" s="13">
        <f t="shared" si="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B3F7628B51FB4393B631E731175BE1" ma:contentTypeVersion="19" ma:contentTypeDescription="Create a new document." ma:contentTypeScope="" ma:versionID="b93de007c5d00291125e14d15b82cf6b">
  <xsd:schema xmlns:xsd="http://www.w3.org/2001/XMLSchema" xmlns:xs="http://www.w3.org/2001/XMLSchema" xmlns:p="http://schemas.microsoft.com/office/2006/metadata/properties" xmlns:ns2="7851470f-74e3-4e82-a432-352d31fa6f15" xmlns:ns3="7b4d7f7b-fb92-4b83-b831-07ab339b3d72" targetNamespace="http://schemas.microsoft.com/office/2006/metadata/properties" ma:root="true" ma:fieldsID="1a53112b52db544e869f9fe91708bea8" ns2:_="" ns3:_="">
    <xsd:import namespace="7851470f-74e3-4e82-a432-352d31fa6f15"/>
    <xsd:import namespace="7b4d7f7b-fb92-4b83-b831-07ab339b3d7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3:SharedWithUsers" minOccurs="0"/>
                <xsd:element ref="ns3:SharedWithDetails" minOccurs="0"/>
                <xsd:element ref="ns2:Company" minOccurs="0"/>
                <xsd:element ref="ns2:Contact" minOccurs="0"/>
                <xsd:element ref="ns2:Comments" minOccurs="0"/>
                <xsd:element ref="ns2:DocTyp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1470f-74e3-4e82-a432-352d31fa6f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f8e3241-73ff-4e45-93c7-06b9b8e1bbf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Company" ma:index="22" nillable="true" ma:displayName="Company" ma:format="Dropdown" ma:internalName="Company">
      <xsd:simpleType>
        <xsd:restriction base="dms:Text">
          <xsd:maxLength value="255"/>
        </xsd:restriction>
      </xsd:simpleType>
    </xsd:element>
    <xsd:element name="Contact" ma:index="23" nillable="true" ma:displayName="Contact" ma:format="Dropdown" ma:internalName="Contact">
      <xsd:simpleType>
        <xsd:restriction base="dms:Text">
          <xsd:maxLength value="255"/>
        </xsd:restriction>
      </xsd:simpleType>
    </xsd:element>
    <xsd:element name="Comments" ma:index="24" nillable="true" ma:displayName="Comments" ma:format="Dropdown" ma:internalName="Comments">
      <xsd:simpleType>
        <xsd:restriction base="dms:Note">
          <xsd:maxLength value="255"/>
        </xsd:restriction>
      </xsd:simpleType>
    </xsd:element>
    <xsd:element name="DocType" ma:index="25" nillable="true" ma:displayName="Doc Type" ma:description="Type of document" ma:format="Dropdown" ma:internalName="DocType">
      <xsd:simpleType>
        <xsd:union memberTypes="dms:Text">
          <xsd:simpleType>
            <xsd:restriction base="dms:Choice">
              <xsd:enumeration value="Vendor Bid"/>
              <xsd:enumeration value="Email"/>
              <xsd:enumeration value="Client Request"/>
              <xsd:enumeration value="Choice 4"/>
            </xsd:restriction>
          </xsd:simpleType>
        </xsd:union>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b4d7f7b-fb92-4b83-b831-07ab339b3d7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ada6c4d-1f6d-4100-81dc-d0195356eb1c}" ma:internalName="TaxCatchAll" ma:showField="CatchAllData" ma:web="7b4d7f7b-fb92-4b83-b831-07ab339b3d7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851470f-74e3-4e82-a432-352d31fa6f15">
      <Terms xmlns="http://schemas.microsoft.com/office/infopath/2007/PartnerControls"/>
    </lcf76f155ced4ddcb4097134ff3c332f>
    <TaxCatchAll xmlns="7b4d7f7b-fb92-4b83-b831-07ab339b3d72" xsi:nil="true"/>
    <SharedWithUsers xmlns="7b4d7f7b-fb92-4b83-b831-07ab339b3d72">
      <UserInfo>
        <DisplayName>Brian Claypool</DisplayName>
        <AccountId>13</AccountId>
        <AccountType/>
      </UserInfo>
      <UserInfo>
        <DisplayName>Tyler Macpherson</DisplayName>
        <AccountId>17</AccountId>
        <AccountType/>
      </UserInfo>
      <UserInfo>
        <DisplayName>David Billay</DisplayName>
        <AccountId>26</AccountId>
        <AccountType/>
      </UserInfo>
    </SharedWithUsers>
    <Company xmlns="7851470f-74e3-4e82-a432-352d31fa6f15" xsi:nil="true"/>
    <Contact xmlns="7851470f-74e3-4e82-a432-352d31fa6f15" xsi:nil="true"/>
    <Comments xmlns="7851470f-74e3-4e82-a432-352d31fa6f15" xsi:nil="true"/>
    <DocType xmlns="7851470f-74e3-4e82-a432-352d31fa6f1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F5A798-C428-4860-BA86-536605E65F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1470f-74e3-4e82-a432-352d31fa6f15"/>
    <ds:schemaRef ds:uri="7b4d7f7b-fb92-4b83-b831-07ab339b3d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973B40-FD7A-466E-9E04-B12C9173CB1C}">
  <ds:schemaRefs>
    <ds:schemaRef ds:uri="http://purl.org/dc/terms/"/>
    <ds:schemaRef ds:uri="http://purl.org/dc/elements/1.1/"/>
    <ds:schemaRef ds:uri="http://schemas.microsoft.com/office/infopath/2007/PartnerControls"/>
    <ds:schemaRef ds:uri="http://schemas.openxmlformats.org/package/2006/metadata/core-properties"/>
    <ds:schemaRef ds:uri="7851470f-74e3-4e82-a432-352d31fa6f15"/>
    <ds:schemaRef ds:uri="http://www.w3.org/XML/1998/namespace"/>
    <ds:schemaRef ds:uri="http://schemas.microsoft.com/office/2006/documentManagement/types"/>
    <ds:schemaRef ds:uri="http://purl.org/dc/dcmitype/"/>
    <ds:schemaRef ds:uri="http://schemas.microsoft.com/office/2006/metadata/properties"/>
    <ds:schemaRef ds:uri="7b4d7f7b-fb92-4b83-b831-07ab339b3d72"/>
  </ds:schemaRefs>
</ds:datastoreItem>
</file>

<file path=customXml/itemProps3.xml><?xml version="1.0" encoding="utf-8"?>
<ds:datastoreItem xmlns:ds="http://schemas.openxmlformats.org/officeDocument/2006/customXml" ds:itemID="{D702CDEC-CD26-4B4D-A4C7-2148957B4C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Material Procurement</vt:lpstr>
      <vt:lpstr>Axxela 10MW - BTC model</vt:lpstr>
      <vt:lpstr>Bitcoin Price Forecast Models</vt:lpstr>
      <vt:lpstr>Ogboinbiri Project Budget</vt:lpstr>
      <vt:lpstr>Site2 Overview</vt:lpstr>
      <vt:lpstr>Site 2 Cost Model</vt:lpstr>
      <vt:lpstr>Site 2 Project 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Tyler Macpherson</dc:creator>
  <cp:keywords/>
  <dc:description/>
  <cp:lastModifiedBy>David Billay</cp:lastModifiedBy>
  <cp:revision/>
  <dcterms:created xsi:type="dcterms:W3CDTF">2024-02-27T19:19:29Z</dcterms:created>
  <dcterms:modified xsi:type="dcterms:W3CDTF">2025-05-27T18:09:45Z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0x01010057B3F7628B51FB4393B631E731175BE1</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2746000</vt:r8>
  </property>
</Properties>
</file>