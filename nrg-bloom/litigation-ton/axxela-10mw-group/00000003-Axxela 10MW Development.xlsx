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defaultThemeVersion="166925"/>
  <mc:AlternateContent xmlns:mc="http://schemas.openxmlformats.org/markup-compatibility/2006">
    <mc:Choice Requires="x15">
      <x15ac:absPath xmlns:x15ac="http://schemas.microsoft.com/office/spreadsheetml/2010/11/ac" url="C:\Users\User\Desktop\"/>
    </mc:Choice>
  </mc:AlternateContent>
  <xr:revisionPtr revIDLastSave="0" documentId="13_ncr:1_{B4D81651-715C-4231-A88E-789AAB8A3A2A}" xr6:coauthVersionLast="47" xr6:coauthVersionMax="47" xr10:uidLastSave="{00000000-0000-0000-0000-000000000000}"/>
  <bookViews>
    <workbookView xWindow="28680" yWindow="-120" windowWidth="29040" windowHeight="15720" tabRatio="811" firstSheet="1" activeTab="1" xr2:uid="{F7281713-254A-4C3F-B329-FCB4EC105C7D}"/>
  </bookViews>
  <sheets>
    <sheet name="Material Procurement" sheetId="15" state="hidden" r:id="rId1"/>
    <sheet name="Axxela 10MW - BTC model" sheetId="23" r:id="rId2"/>
    <sheet name="Bitcoin Price Forecast Models" sheetId="33" r:id="rId3"/>
    <sheet name="Ogboinbiri Project Budget" sheetId="18" state="hidden" r:id="rId4"/>
    <sheet name="Site2 Overview" sheetId="8" state="hidden" r:id="rId5"/>
    <sheet name="Site 2 Cost Model" sheetId="20" state="hidden" r:id="rId6"/>
    <sheet name="Site 2 Project Budget" sheetId="22" state="hidden"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s>
  <definedNames>
    <definedName name="__123Graph_AFINANZRECHNUNG" hidden="1">'[1]Finanz.rechn.'!#REF!</definedName>
    <definedName name="__123Graph_BFINANZRECHNUNG" hidden="1">'[1]Finanz.rechn.'!#REF!</definedName>
    <definedName name="__123Graph_CFINANZRECHNUNG" hidden="1">'[1]Finanz.rechn.'!#REF!</definedName>
    <definedName name="__123Graph_DFINANZRECHNUNG" hidden="1">'[1]Finanz.rechn.'!#REF!</definedName>
    <definedName name="__IntlFixup" hidden="1">TRUE</definedName>
    <definedName name="_0_ICQ_ConstInd">#REF!</definedName>
    <definedName name="_0_ICQ_Contingency">#REF!</definedName>
    <definedName name="_0_ICQ_Engineering">#REF!</definedName>
    <definedName name="_0_ICQ_FldOfcInd">#REF!</definedName>
    <definedName name="_0_ICQ_Freight">#REF!</definedName>
    <definedName name="_0_ICQ_OtherProjCosts">#REF!</definedName>
    <definedName name="_0_ICQ_TaxesPermits">#REF!</definedName>
    <definedName name="_0_SLQ_MetricsDIR">#REF!</definedName>
    <definedName name="_0_SLQ_MetricsIND">#REF!</definedName>
    <definedName name="_0_TAQ_TDC_AcctSumry">#REF!</definedName>
    <definedName name="_0_TAQ_TDC_COASumry">'[2]TDC COA Sumry'!$A$6</definedName>
    <definedName name="_0_TAQ_TDC_ItemDetsByOrigin">'[2]TDC Item Dets'!$A$6</definedName>
    <definedName name="_0_TAQ_TDC_ItemSumry">#REF!</definedName>
    <definedName name="_0_TAQ_TDC_KeyQtySumry">'[2]TDC Key Qty Sumry'!$A$6</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6_KQQ_InstTerms">#REF!</definedName>
    <definedName name="_6_KQQ_InstWire">#REF!</definedName>
    <definedName name="_6_KQQ_RacewayTot">#REF!</definedName>
    <definedName name="_6_KQQ_TotCount_InstJBox">#REF!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Fill" hidden="1">[1]Information!$E$11</definedName>
    <definedName name="_Order1" hidden="1">255</definedName>
    <definedName name="_Order2" hidden="1">255</definedName>
    <definedName name="_SI_0_TDC_COASumry">'[2]COA Sumry - Std Imp'!$A$6</definedName>
    <definedName name="_SI_0_TDC_ContrSumry">'[2]Contr TDC - Std Imp'!$A$6</definedName>
    <definedName name="_SI_0_TDC_ItemSumry">'[2]Item Sumry - Std Imp'!$A$6</definedName>
    <definedName name="_SI_0_TDC_UnitCosts">'[2]Unit Costs - Std Imp'!$A$6</definedName>
    <definedName name="_SI_0_TDC_UnitMH">'[2]Unit MH - Std Imp'!$A$6</definedName>
    <definedName name="_SI_0_TIC_Overall">'[2]Proj TIC - Std Imp'!$A$6</definedName>
    <definedName name="AMB2OER">[3]Equipment!$J$19</definedName>
    <definedName name="AMB2ON">[3]Equipment!$L$19</definedName>
    <definedName name="AMB2OOR">[3]Equipment!$K$19</definedName>
    <definedName name="AMB2OR">[3]Equipment!$E$19</definedName>
    <definedName name="AMB2ORR">[3]Equipment!$I$19</definedName>
    <definedName name="AMB2RR">[3]Equipment!$D$19</definedName>
    <definedName name="AMB4N">[3]Equipment!$L$18</definedName>
    <definedName name="AMB4OER">[3]Equipment!$J$18</definedName>
    <definedName name="AMB4OOR">[3]Equipment!$K$18</definedName>
    <definedName name="AMB4OR">[3]Equipment!$E$18</definedName>
    <definedName name="AMB4ORR">[3]Equipment!$I$18</definedName>
    <definedName name="AMB4RR">[3]Equipment!$D$18</definedName>
    <definedName name="ATHYN">[3]Equipment!$L$50</definedName>
    <definedName name="ATHYOER">[3]Equipment!$J$50</definedName>
    <definedName name="ATHYOR">[3]Equipment!$E$50</definedName>
    <definedName name="ATHYRR">[3]Equipment!$D$50</definedName>
    <definedName name="AUTON">[3]Equipment!$L$33</definedName>
    <definedName name="AUTOOER">[3]Equipment!$J$33</definedName>
    <definedName name="AUTOOOR">[3]Equipment!$K$33</definedName>
    <definedName name="AUTOORR">[3]Equipment!$I$33</definedName>
    <definedName name="B212N">[3]Equipment!$L$48</definedName>
    <definedName name="B212OER">[3]Equipment!$J$48</definedName>
    <definedName name="B212OOR">[3]Equipment!$K$48</definedName>
    <definedName name="B212OR">[3]Equipment!$E$48</definedName>
    <definedName name="B212ORR">[3]Equipment!$I$48</definedName>
    <definedName name="B212RR">[3]Equipment!$D$48</definedName>
    <definedName name="B224N">[3]Equipment!$L$47</definedName>
    <definedName name="B224OER">[3]Equipment!$J$47</definedName>
    <definedName name="B224OOR">[3]Equipment!$K$47</definedName>
    <definedName name="B224OR">[3]Equipment!$E$47</definedName>
    <definedName name="B224ORR">[3]Equipment!$I$47</definedName>
    <definedName name="B224RR">[3]Equipment!$D$47</definedName>
    <definedName name="B235N">[3]Equipment!$L$87</definedName>
    <definedName name="B235OER">[3]Equipment!$J$87</definedName>
    <definedName name="B235OOR">[3]Equipment!$K$87</definedName>
    <definedName name="B235OR">[3]Equipment!$E$87</definedName>
    <definedName name="B235ORR">[3]Equipment!$I$87</definedName>
    <definedName name="B235RR">[3]Equipment!$D$87</definedName>
    <definedName name="B236N">[3]Equipment!$L$46</definedName>
    <definedName name="B236OER">[3]Equipment!$J$46</definedName>
    <definedName name="B236OOR">[3]Equipment!$K$46</definedName>
    <definedName name="B236OR">[3]Equipment!$E$46</definedName>
    <definedName name="B236ORR">[3]Equipment!$I$46</definedName>
    <definedName name="B236RR">[3]Equipment!$D$46</definedName>
    <definedName name="B245N">[3]Equipment!$L$88</definedName>
    <definedName name="B245OER">[3]Equipment!$J$88</definedName>
    <definedName name="B245OOR">[3]Equipment!$K$88</definedName>
    <definedName name="B245OR">[3]Equipment!$E$88</definedName>
    <definedName name="B245ORR">[3]Equipment!$I$88</definedName>
    <definedName name="B245RR">[3]Equipment!$D$88</definedName>
    <definedName name="B2MN">[3]Equipment!$L$49</definedName>
    <definedName name="B2MOER">[3]Equipment!$J$49</definedName>
    <definedName name="B2MOOR">[3]Equipment!$K$49</definedName>
    <definedName name="B2MOR">[3]Equipment!$E$49</definedName>
    <definedName name="B2MORR">[3]Equipment!$I$49</definedName>
    <definedName name="B2MRR">[3]Equipment!$D$49</definedName>
    <definedName name="B325N">[3]Equipment!$L$91</definedName>
    <definedName name="B325OER">[3]Equipment!$J$91</definedName>
    <definedName name="B325OOR">[3]Equipment!$K$91</definedName>
    <definedName name="B325OR">[3]Equipment!$E$91</definedName>
    <definedName name="B325ORR">[3]Equipment!$I$91</definedName>
    <definedName name="B325RR">[3]Equipment!$D$91</definedName>
    <definedName name="B330N">[3]Equipment!$L$89</definedName>
    <definedName name="B330OER">[3]Equipment!$J$89</definedName>
    <definedName name="B330OOR">[3]Equipment!$K$89</definedName>
    <definedName name="B330OR">[3]Equipment!$E$89</definedName>
    <definedName name="B330ORR">[3]Equipment!$I$89</definedName>
    <definedName name="B330RR">[3]Equipment!$D$89</definedName>
    <definedName name="B345N">[3]Equipment!$L$86</definedName>
    <definedName name="B345OER">[3]Equipment!$J$86</definedName>
    <definedName name="B345OOR">[3]Equipment!$K$86</definedName>
    <definedName name="B345OR">[3]Equipment!$E$86</definedName>
    <definedName name="B345ORR">[3]Equipment!$I$86</definedName>
    <definedName name="B345RR">[3]Equipment!$D$86</definedName>
    <definedName name="B375N">[3]Equipment!$L$90</definedName>
    <definedName name="B375OER">[3]Equipment!$J$90</definedName>
    <definedName name="B375OOR">[3]Equipment!$K$90</definedName>
    <definedName name="B375OR">[3]Equipment!$E$90</definedName>
    <definedName name="B375ORR">[3]Equipment!$I$90</definedName>
    <definedName name="B375RR">[3]Equipment!$D$90</definedName>
    <definedName name="BELTN">[3]Equipment!$L$128</definedName>
    <definedName name="BELTOR">[3]Equipment!$E$128</definedName>
    <definedName name="BELTRR">[3]Equipment!$D$128</definedName>
    <definedName name="Bidder1">#REF!</definedName>
    <definedName name="Bidder2">#REF!</definedName>
    <definedName name="Bidder3">#REF!</definedName>
    <definedName name="Bidder4">#REF!</definedName>
    <definedName name="Bidder5">#REF!</definedName>
    <definedName name="Bidder6">#REF!</definedName>
    <definedName name="BM36N">[3]Equipment!$L$103</definedName>
    <definedName name="BM36OER">[3]Equipment!$J$103</definedName>
    <definedName name="BM36OOR">[3]Equipment!$K$103</definedName>
    <definedName name="BM36OR">[3]Equipment!$E$103</definedName>
    <definedName name="BM36ORR">[3]Equipment!$I$103</definedName>
    <definedName name="BM36RR">[3]Equipment!$D$103</definedName>
    <definedName name="BM48N">[3]Equipment!$L$104</definedName>
    <definedName name="BM48OER">[3]Equipment!$J$104</definedName>
    <definedName name="BM48OOR">[3]Equipment!$K$104</definedName>
    <definedName name="BM48OR">[3]Equipment!$E$104</definedName>
    <definedName name="BM48ORR">[3]Equipment!$I$104</definedName>
    <definedName name="BM48RR">[3]Equipment!$D$104</definedName>
    <definedName name="BO56N">[3]Equipment!$L$108</definedName>
    <definedName name="BO56OER">[3]Equipment!$J$108</definedName>
    <definedName name="BO56OOR">[3]Equipment!$K$108</definedName>
    <definedName name="BO56OR">[3]Equipment!$E$108</definedName>
    <definedName name="BO56ORR">[3]Equipment!$I$108</definedName>
    <definedName name="BO56RR">[3]Equipment!$D$108</definedName>
    <definedName name="BS30N">[3]Equipment!$L$102</definedName>
    <definedName name="BS30OER">[3]Equipment!$J$102</definedName>
    <definedName name="BS30OOR">[3]Equipment!$K$102</definedName>
    <definedName name="BS30ORR">[3]Equipment!$I$102</definedName>
    <definedName name="BS48N">[3]Equipment!$L$105</definedName>
    <definedName name="BS48OER">[3]Equipment!$J$105</definedName>
    <definedName name="BS48OOR">[3]Equipment!$K$105</definedName>
    <definedName name="BS48ORR">[3]Equipment!$I$105</definedName>
    <definedName name="BSCOUNT">'[4]Front Sheet'!$Y$2</definedName>
    <definedName name="BT">[3]MI!$O$35</definedName>
    <definedName name="BV30N">[3]Equipment!$L$124</definedName>
    <definedName name="BV30OR">[3]Equipment!$E$124</definedName>
    <definedName name="BV30RR">[3]Equipment!$D$124</definedName>
    <definedName name="BV42N">[3]Equipment!$L$125</definedName>
    <definedName name="BV42OOR">[3]Equipment!$K$125</definedName>
    <definedName name="BV42OR">[3]Equipment!$E$125</definedName>
    <definedName name="BV42ORR">[3]Equipment!$I$125</definedName>
    <definedName name="BV42RR">[3]Equipment!$D$125</definedName>
    <definedName name="BV48N">[3]Equipment!$L$126</definedName>
    <definedName name="BV48OOR">[3]Equipment!$K$126</definedName>
    <definedName name="BV48OR">[3]Equipment!$E$126</definedName>
    <definedName name="BV48ORR">[3]Equipment!$I$126</definedName>
    <definedName name="BV48RR">[3]Equipment!$D$126</definedName>
    <definedName name="CD">[3]SW!$J$7</definedName>
    <definedName name="CEH">[3]MI!$P$54</definedName>
    <definedName name="CEQ">[3]MI!$G$54</definedName>
    <definedName name="CER">[3]MI!$M$54</definedName>
    <definedName name="CFDVMgrMode" hidden="1">"DataValidation"</definedName>
    <definedName name="CL78N">[3]Equipment!$L$84</definedName>
    <definedName name="CL78OER">[3]Equipment!$J$84</definedName>
    <definedName name="CL78OOR">[3]Equipment!$K$84</definedName>
    <definedName name="CL78OR">[3]Equipment!$E$84</definedName>
    <definedName name="CL78ORR">[3]Equipment!$I$84</definedName>
    <definedName name="CL78RR">[3]Equipment!$D$84</definedName>
    <definedName name="CL98N">[3]Equipment!$L$83</definedName>
    <definedName name="CL98OER">[3]Equipment!$J$83</definedName>
    <definedName name="CL98OOR">[3]Equipment!$K$83</definedName>
    <definedName name="CL98OR">[3]Equipment!$E$83</definedName>
    <definedName name="CL98ORR">[3]Equipment!$I$83</definedName>
    <definedName name="CL98RR">[3]Equipment!$D$83</definedName>
    <definedName name="CM10N">[3]Equipment!$L$100</definedName>
    <definedName name="CM10OER">[3]Equipment!$J$100</definedName>
    <definedName name="CM10OOR">[3]Equipment!$K$100</definedName>
    <definedName name="CM10OR">[3]Equipment!$E$100</definedName>
    <definedName name="CM10ORR">[3]Equipment!$I$100</definedName>
    <definedName name="CM10RR">[3]Equipment!$D$100</definedName>
    <definedName name="CMT">[3]MI!$K$79</definedName>
    <definedName name="ContractDescription">#REF!</definedName>
    <definedName name="contractnolink">#REF!</definedName>
    <definedName name="ControlEstName" hidden="1">"C:\Users\KSWCON~1\AppData\Local\Temp\{5F7C1E42-9770-4305-9A47-B3939E267E9B}\{092CD622-8BF9-42AA-9C2F-2B7E8E5BB66D}.xlsb"</definedName>
    <definedName name="CP03N">[3]Equipment!$L$145</definedName>
    <definedName name="CP03OER">[3]Equipment!$J$145</definedName>
    <definedName name="CP03OOR">[3]Equipment!$K$145</definedName>
    <definedName name="CP03OR">[3]Equipment!$E$145</definedName>
    <definedName name="CP03ORR">[3]Equipment!$I$145</definedName>
    <definedName name="CP03RR">[3]Equipment!$D$145</definedName>
    <definedName name="CP05N">[3]Equipment!$L$144</definedName>
    <definedName name="CP05OER">[3]Equipment!$J$144</definedName>
    <definedName name="CP05OOR">[3]Equipment!$K$144</definedName>
    <definedName name="CP05OR">[3]Equipment!$E$144</definedName>
    <definedName name="CP05ORR">[3]Equipment!$I$144</definedName>
    <definedName name="CP05RR">[3]Equipment!$D$144</definedName>
    <definedName name="CP09N">[3]Equipment!$L$146</definedName>
    <definedName name="CP09OER">[3]Equipment!$J$146</definedName>
    <definedName name="CP09OOR">[3]Equipment!$K$146</definedName>
    <definedName name="CP09OR">[3]Equipment!$E$146</definedName>
    <definedName name="CP09ORR">[3]Equipment!$I$146</definedName>
    <definedName name="CP09RR">[3]Equipment!$D$146</definedName>
    <definedName name="CP16N">[3]Equipment!$L$143</definedName>
    <definedName name="CP16OER">[3]Equipment!$J$143</definedName>
    <definedName name="CP16OOR">[3]Equipment!$K$143</definedName>
    <definedName name="CP16OR">[3]Equipment!$E$143</definedName>
    <definedName name="CP16ORR">[3]Equipment!$I$143</definedName>
    <definedName name="CP16RR">[3]Equipment!$D$143</definedName>
    <definedName name="CPOER">[3]Equipment!$J$143</definedName>
    <definedName name="CR36N">[3]Equipment!$L$182</definedName>
    <definedName name="CR36OER">[3]Equipment!$J$182</definedName>
    <definedName name="CR36OOR">[3]Equipment!$K$182</definedName>
    <definedName name="CR36OR">[3]Equipment!$E$182</definedName>
    <definedName name="CR36ORR">[3]Equipment!$I$182</definedName>
    <definedName name="CR36RR">[3]Equipment!$D$182</definedName>
    <definedName name="CRLT">[3]MI!$Q$86</definedName>
    <definedName name="CRM">[3]MI!$N$88</definedName>
    <definedName name="CRMT">[3]MI!$N$83</definedName>
    <definedName name="CRSCT">[3]MI!$N$84</definedName>
    <definedName name="CRT">[3]MI!$Q$88</definedName>
    <definedName name="CRTE">[3]MI!$K$86</definedName>
    <definedName name="CST">#REF!</definedName>
    <definedName name="CT10N">[3]Equipment!$L$101</definedName>
    <definedName name="CT10OER">[3]Equipment!$J$101</definedName>
    <definedName name="CT10OOR">[3]Equipment!$K$101</definedName>
    <definedName name="CT10OR">[3]Equipment!$E$101</definedName>
    <definedName name="CT10ORR">[3]Equipment!$I$101</definedName>
    <definedName name="CT10RR">[3]Equipment!$D$101</definedName>
    <definedName name="cWksPerMonth">4.33</definedName>
    <definedName name="D">[5]Cover!$H$1</definedName>
    <definedName name="D40WN">[3]Equipment!$L$79</definedName>
    <definedName name="D40WOER">[3]Equipment!$J$79</definedName>
    <definedName name="D40WOOR">[3]Equipment!$K$79</definedName>
    <definedName name="D40WOR">[3]Equipment!$E$79</definedName>
    <definedName name="D40WORR">[3]Equipment!$I$79</definedName>
    <definedName name="D40WRR">[3]Equipment!$D$79</definedName>
    <definedName name="D6LN">[3]Equipment!$L$67</definedName>
    <definedName name="D6LOER">[3]Equipment!$J$67</definedName>
    <definedName name="D6LOOR">[3]Equipment!$K$67</definedName>
    <definedName name="D6LOR">[3]Equipment!$E$67</definedName>
    <definedName name="D6LORR">[3]Equipment!$I$67</definedName>
    <definedName name="D6LRR">[3]Equipment!$D$67</definedName>
    <definedName name="D6WN">[3]Equipment!$L$68</definedName>
    <definedName name="D6WOER">[3]Equipment!$J$68</definedName>
    <definedName name="D6WOOR">[3]Equipment!$K$68</definedName>
    <definedName name="D6WOR">[3]Equipment!$E$68</definedName>
    <definedName name="D6WORR">[3]Equipment!$I$68</definedName>
    <definedName name="D6WRR">[3]Equipment!$D$68</definedName>
    <definedName name="D710N">[3]Equipment!$L$77</definedName>
    <definedName name="D710OER">[3]Equipment!$J$77</definedName>
    <definedName name="D710OOR">[3]Equipment!$K$77</definedName>
    <definedName name="D710OR">[3]Equipment!$E$77</definedName>
    <definedName name="D710ORR">[3]Equipment!$I$77</definedName>
    <definedName name="D710RR">[3]Equipment!$D$77</definedName>
    <definedName name="D7HW0ER">[3]Equipment!$J$66</definedName>
    <definedName name="D7HWN">[3]Equipment!$L$66</definedName>
    <definedName name="D7HWOOR">[3]Equipment!$K$66</definedName>
    <definedName name="D7HWOR">[3]Equipment!$E$66</definedName>
    <definedName name="D7HWORR">[3]Equipment!$I$66</definedName>
    <definedName name="D7HWRR">[3]Equipment!$D$66</definedName>
    <definedName name="D8KWN">[3]Equipment!$L$65</definedName>
    <definedName name="D8KWOER">[3]Equipment!$J$65</definedName>
    <definedName name="D8KWOOR">[3]Equipment!$K$65</definedName>
    <definedName name="D8KWORR">[3]Equipment!$I$65</definedName>
    <definedName name="D8KWRR">[3]Equipment!$C$65</definedName>
    <definedName name="D8NRN">[3]Equipment!$L$64</definedName>
    <definedName name="d8nroer">[3]Equipment!$J$64</definedName>
    <definedName name="D8NROOR">[3]Equipment!$K$64</definedName>
    <definedName name="D8NROR">[3]Equipment!$E$64</definedName>
    <definedName name="D8NRORR">[3]Equipment!$I$64</definedName>
    <definedName name="D8NRRR">[3]Equipment!$D$64</definedName>
    <definedName name="D8NWN">[3]Equipment!$L$63</definedName>
    <definedName name="D8NWOER">[3]Equipment!$J$63</definedName>
    <definedName name="D8NWOOR">[3]Equipment!$K$63</definedName>
    <definedName name="D8NWOR">[3]Equipment!$E$63</definedName>
    <definedName name="D8NWORR">[3]Equipment!$I$63</definedName>
    <definedName name="D8NWRR">[3]Equipment!$D$63</definedName>
    <definedName name="D9NRN">[3]Equipment!$L$62</definedName>
    <definedName name="D9NROER">[3]Equipment!$J$62</definedName>
    <definedName name="D9NROOR">[3]Equipment!$K$62</definedName>
    <definedName name="D9NROR">[3]Equipment!$E$62</definedName>
    <definedName name="D9NRORR">[3]Equipment!$I$62</definedName>
    <definedName name="D9NRRR">[3]Equipment!$D$62</definedName>
    <definedName name="D9NWN">[3]Equipment!$L$61</definedName>
    <definedName name="D9NWOER">[3]Equipment!$J$61</definedName>
    <definedName name="D9NWOOR">[3]Equipment!$K$61</definedName>
    <definedName name="D9NWOR">[3]Equipment!$E$61</definedName>
    <definedName name="D9NWORR">[3]Equipment!$I$61</definedName>
    <definedName name="d9nwrr">[3]Equipment!$D$61</definedName>
    <definedName name="DAH">[3]Labour!$H$8</definedName>
    <definedName name="DAL">[3]Labour!$L$8</definedName>
    <definedName name="DC35N">[3]Equipment!$L$69</definedName>
    <definedName name="DC35OER">[3]Equipment!$J$69</definedName>
    <definedName name="DC35OOR">[3]Equipment!$K$69</definedName>
    <definedName name="DC35OR">[3]Equipment!$E$69</definedName>
    <definedName name="DC35ORR">[3]Equipment!$I$69</definedName>
    <definedName name="DC35RR">[3]Equipment!$D$69</definedName>
    <definedName name="DETAILS">#REF!</definedName>
    <definedName name="DHR">#REF!</definedName>
    <definedName name="DJ">[6]Cover!#REF!</definedName>
    <definedName name="DJ84N">[3]Equipment!$L$80</definedName>
    <definedName name="DJ84OER">[3]Equipment!$J$80</definedName>
    <definedName name="DJ84OOR">[3]Equipment!$K$80</definedName>
    <definedName name="DJ84OR">[3]Equipment!$E$80</definedName>
    <definedName name="DJ84ORR">[3]Equipment!$I$80</definedName>
    <definedName name="DJ84RR">[3]Equipment!$D$80</definedName>
    <definedName name="DP">[6]Cover!#REF!</definedName>
    <definedName name="DT">[5]Cover!$B$7</definedName>
    <definedName name="DT77N">[3]Equipment!$L$78</definedName>
    <definedName name="DT77OER">[3]Equipment!$J$78</definedName>
    <definedName name="DT77OOR">[3]Equipment!$K$78</definedName>
    <definedName name="DT77OR">[3]Equipment!$E$78</definedName>
    <definedName name="DT77ORR">[3]Equipment!$I$78</definedName>
    <definedName name="DT77RR">[3]Equipment!$D$78</definedName>
    <definedName name="DUP">#REF!</definedName>
    <definedName name="E">[5]Cover!$H$2</definedName>
    <definedName name="EC30N">[3]Equipment!$L$119</definedName>
    <definedName name="EC30OR">[3]Equipment!$E$119</definedName>
    <definedName name="EC30RR">[3]Equipment!$D$119</definedName>
    <definedName name="EC42N">[3]Equipment!$L$120</definedName>
    <definedName name="EC42OOR">[3]Equipment!$K$120</definedName>
    <definedName name="EC42OR">[3]Equipment!$E$120</definedName>
    <definedName name="EC42ORR">[3]Equipment!$I$120</definedName>
    <definedName name="EC480RR">[3]Equipment!$I$121</definedName>
    <definedName name="EC48N">[3]Equipment!$L$121</definedName>
    <definedName name="EC48OOR">[3]Equipment!$K$121</definedName>
    <definedName name="EC48OR">[3]Equipment!$E$121</definedName>
    <definedName name="EC48RR">[3]Equipment!$D$121</definedName>
    <definedName name="EN">[5]Cover!$B$2</definedName>
    <definedName name="EOT">[3]MI!$N$69</definedName>
    <definedName name="EQPT_1">#REF!</definedName>
    <definedName name="EQPT_2">#REF!</definedName>
    <definedName name="EQPT_3">#REF!</definedName>
    <definedName name="EQPT_4">#REF!</definedName>
    <definedName name="Equipment_Refurbished_DA">'[7]Rates Allowances'!$C$16</definedName>
    <definedName name="ET">[3]MI!$Q$69</definedName>
    <definedName name="EV__LASTREFTIME__" hidden="1">41191.5763194444</definedName>
    <definedName name="EWH">#REF!</definedName>
    <definedName name="Exchange_Rate">'[8]2.Summary'!$G$48</definedName>
    <definedName name="ExportName" hidden="1">"C:\Users\ASHLEY~1.BUC\AppData\Local\Temp\{5F7C1E42-9770-4305-9A47-B3939E267E9B}\{AE591A17-3346-4436-AF2F-BDB5F56BFA7D}.xlsb"</definedName>
    <definedName name="FOT">[3]Labour!$C$4</definedName>
    <definedName name="FT4N">[3]Equipment!$L$131</definedName>
    <definedName name="FT4OER">[3]Equipment!$J$131</definedName>
    <definedName name="FT4OOR">[3]Equipment!$K$131</definedName>
    <definedName name="FT4OR">[3]Equipment!$E$131</definedName>
    <definedName name="FT4ORR">[3]Equipment!$I$131</definedName>
    <definedName name="FT4RR">[3]Equipment!$D$131</definedName>
    <definedName name="G14GN">[3]Equipment!$L$97</definedName>
    <definedName name="G14GOER">[3]Equipment!$J$97</definedName>
    <definedName name="G14GOOR">[3]Equipment!$K$97</definedName>
    <definedName name="G14GOR">[3]Equipment!$E$97</definedName>
    <definedName name="G14GORR">[3]Equipment!$I$97</definedName>
    <definedName name="G14GRR">[3]Equipment!$D$97</definedName>
    <definedName name="G16GN">[3]Equipment!$L$98</definedName>
    <definedName name="G16GOER">[3]Equipment!$J$98</definedName>
    <definedName name="G16GOOR">[3]Equipment!$K$98</definedName>
    <definedName name="G16GOR">[3]Equipment!$E$98</definedName>
    <definedName name="G16GORR">[3]Equipment!$I$98</definedName>
    <definedName name="G16GRR">[3]Equipment!$D$98</definedName>
    <definedName name="Graded_Helper">[3]Labour!$C$118</definedName>
    <definedName name="HDN">[3]Equipment!$L$155</definedName>
    <definedName name="HDOER">[3]Equipment!$J$155</definedName>
    <definedName name="HDOOR">[3]Equipment!$K$155</definedName>
    <definedName name="HDOR">[3]Equipment!$E$155</definedName>
    <definedName name="HDORR">[3]Equipment!$I$155</definedName>
    <definedName name="HDRR">[3]Equipment!$D$155</definedName>
    <definedName name="HEADER">#REF!</definedName>
    <definedName name="HP">[3]Labour!$C$7</definedName>
    <definedName name="HTML_CodePage" hidden="1">1252</definedName>
    <definedName name="HTML_Control" hidden="1">{"'Leverage'!$B$2:$M$418"}</definedName>
    <definedName name="HTML_Description" hidden="1">""</definedName>
    <definedName name="HTML_Email" hidden="1">""</definedName>
    <definedName name="HTML_Header" hidden="1">"Leverage"</definedName>
    <definedName name="HTML_LastUpdate" hidden="1">"8/21/00"</definedName>
    <definedName name="HTML_LineAfter" hidden="1">FALSE</definedName>
    <definedName name="HTML_LineBefore" hidden="1">FALSE</definedName>
    <definedName name="HTML_Name" hidden="1">"Frank Vickers"</definedName>
    <definedName name="HTML_OBDlg2" hidden="1">TRUE</definedName>
    <definedName name="HTML_OBDlg4" hidden="1">TRUE</definedName>
    <definedName name="HTML_OS" hidden="1">0</definedName>
    <definedName name="HTML_Title" hidden="1">"leverage"</definedName>
    <definedName name="HTML1_10" hidden="1">"charles_l_blake@ccm.rr.intel.com"</definedName>
    <definedName name="HTML1_11" hidden="1">1</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IC30N">[3]Equipment!$L$115</definedName>
    <definedName name="IC30OER">[3]Equipment!$J$115</definedName>
    <definedName name="IC30OOR">[3]Equipment!$K$115</definedName>
    <definedName name="IC30ORR">[3]Equipment!$I$115</definedName>
    <definedName name="IC42N">[3]Equipment!$L$116</definedName>
    <definedName name="IC42OER">[3]Equipment!$J$116</definedName>
    <definedName name="IC42OOR">[3]Equipment!$K$116</definedName>
    <definedName name="IC42OR">[3]Equipment!$E$116</definedName>
    <definedName name="IC42ORR">[3]Equipment!$I$116</definedName>
    <definedName name="IC42RR">[3]Equipment!$D$116</definedName>
    <definedName name="IC48N">[3]Equipment!$L$117</definedName>
    <definedName name="IC48OER">[3]Equipment!$J$117</definedName>
    <definedName name="IC48OOR">[3]Equipment!$K$117</definedName>
    <definedName name="IC48RR">[3]Equipment!$D$117</definedName>
    <definedName name="IHCN">[3]Equipment!$L$204</definedName>
    <definedName name="IHCOER">[3]Equipment!$J$204</definedName>
    <definedName name="IHCOOR">[3]Equipment!$K$204</definedName>
    <definedName name="IHCOR">[3]Equipment!$E$204</definedName>
    <definedName name="IHCORR">[3]Equipment!$I$204</definedName>
    <definedName name="IHCRR">[3]Equipment!$D$204</definedName>
    <definedName name="IMPPATH">'[4]Front Sheet'!$Y$1</definedName>
    <definedName name="Induction_Heat_Coil">[3]Equipment!$H$204</definedName>
    <definedName name="J_DET">#REF!</definedName>
    <definedName name="L_DET">#REF!</definedName>
    <definedName name="L100AH">[3]Labour!$D$92</definedName>
    <definedName name="L100B">[3]Labour!$L$92</definedName>
    <definedName name="L100BR">[3]Labour!$C$92</definedName>
    <definedName name="L100S">[3]Labour!$J$92</definedName>
    <definedName name="L100T">[3]Labour!$K$92</definedName>
    <definedName name="L110AH">[3]Labour!$D$93</definedName>
    <definedName name="L110B">[3]Labour!$L$93</definedName>
    <definedName name="L110BR">[3]Labour!$C$93</definedName>
    <definedName name="L110S">[3]Labour!$J$93</definedName>
    <definedName name="L110T">[3]Labour!$K$93</definedName>
    <definedName name="L120AH">[3]Labour!$D$94</definedName>
    <definedName name="L120B">[3]Labour!$L$94</definedName>
    <definedName name="L120BR">[3]Labour!$C$94</definedName>
    <definedName name="L120S">[3]Labour!$J$94</definedName>
    <definedName name="L120T">[3]Labour!$K$94</definedName>
    <definedName name="L130AH">[3]Labour!$D$95</definedName>
    <definedName name="L130B">[3]Labour!$L$95</definedName>
    <definedName name="L130BR">[3]Labour!$C$95</definedName>
    <definedName name="L130S">[3]Labour!$J$95</definedName>
    <definedName name="L130T">[3]Labour!$K$95</definedName>
    <definedName name="L140AH">[3]Labour!$D$96</definedName>
    <definedName name="L140B">[3]Labour!$L$96</definedName>
    <definedName name="L140BR">[3]Labour!$C$96</definedName>
    <definedName name="L140S">[3]Labour!$J$96</definedName>
    <definedName name="L140T">[3]Labour!$K$96</definedName>
    <definedName name="L140TF">[3]Labour!$I$96</definedName>
    <definedName name="L150AH">[3]Labour!$D$97</definedName>
    <definedName name="L150B">[3]Labour!$L$97</definedName>
    <definedName name="L150BR">[3]Labour!$C$97</definedName>
    <definedName name="L150S">[3]Labour!$J$97</definedName>
    <definedName name="L150T">[3]Labour!$K$97</definedName>
    <definedName name="L160AH">[3]Labour!$D$98</definedName>
    <definedName name="L160B">[3]Labour!$L$98</definedName>
    <definedName name="L160BR">[3]Labour!$C$98</definedName>
    <definedName name="L160S">[3]Labour!$J$98</definedName>
    <definedName name="L160T">[3]Labour!$K$98</definedName>
    <definedName name="L170AH">[3]Labour!$D$99</definedName>
    <definedName name="L170B">[3]Labour!$L$99</definedName>
    <definedName name="L170BR">[3]Labour!$C$99</definedName>
    <definedName name="L170S">[3]Labour!$J$99</definedName>
    <definedName name="L170T">[3]Labour!$K$99</definedName>
    <definedName name="L180AH">[3]Labour!$D$100</definedName>
    <definedName name="L180B">[3]Labour!$L$100</definedName>
    <definedName name="L180BR">[3]Labour!$C$100</definedName>
    <definedName name="L180S">[3]Labour!$J$100</definedName>
    <definedName name="L180T">[3]Labour!$K$100</definedName>
    <definedName name="L190AH">[3]Labour!$D$101</definedName>
    <definedName name="L190B">[3]Labour!$L$101</definedName>
    <definedName name="L190S">[3]Labour!$J$101</definedName>
    <definedName name="L190T">[3]Labour!$K$101</definedName>
    <definedName name="L446N">[3]Equipment!$L$93</definedName>
    <definedName name="L446OER">[3]Equipment!$J$93</definedName>
    <definedName name="L446OOR">[3]Equipment!$K$93</definedName>
    <definedName name="L446OR">[3]Equipment!$E$93</definedName>
    <definedName name="L446ORR">[3]Equipment!$I$93</definedName>
    <definedName name="L446RR">[3]Equipment!$D$93</definedName>
    <definedName name="L928N">[3]Equipment!$L$95</definedName>
    <definedName name="L928OER">[3]Equipment!$J$95</definedName>
    <definedName name="L928OOR">[3]Equipment!$K$95</definedName>
    <definedName name="L928OR">[3]Equipment!$E$95</definedName>
    <definedName name="L928ORR">[3]Equipment!$I$95</definedName>
    <definedName name="L928RR">[3]Equipment!$D$95</definedName>
    <definedName name="L966N">[3]Equipment!$L$94</definedName>
    <definedName name="L966OER">[3]Equipment!$J$94</definedName>
    <definedName name="L966OOR">[3]Equipment!$K$94</definedName>
    <definedName name="L966OR">[3]Equipment!$E$94</definedName>
    <definedName name="L966ORR">[3]Equipment!$I$94</definedName>
    <definedName name="L966RR">[3]Equipment!$D$94</definedName>
    <definedName name="LAB_RATE">#REF!</definedName>
    <definedName name="Labor_All_in">'[9]Rates Allowances'!$C$26</definedName>
    <definedName name="labour">#REF!</definedName>
    <definedName name="Labour1">#REF!</definedName>
    <definedName name="Labour2">#REF!</definedName>
    <definedName name="LHW">[3]Labour!$E$91</definedName>
    <definedName name="LITEN">[3]Equipment!$L$190</definedName>
    <definedName name="LITEOER">[3]Equipment!$J$190</definedName>
    <definedName name="LITEOOR">[3]Equipment!$K$190</definedName>
    <definedName name="LITEOR">[3]Equipment!$E$190</definedName>
    <definedName name="LITEORR">[3]Equipment!$I$190</definedName>
    <definedName name="LITERR">[3]Equipment!$D$190</definedName>
    <definedName name="LM">[5]Cover!$I$7</definedName>
    <definedName name="LOF">[3]Labour!$H$91</definedName>
    <definedName name="Loop_Move_Day_Hrs_Day">[3]Labour!$H$5</definedName>
    <definedName name="LOWER">'[10]triangular&amp;uniform'!$E$4</definedName>
    <definedName name="LPF">[3]Labour!$F$91</definedName>
    <definedName name="LQ">[3]SW!$E$35</definedName>
    <definedName name="LT">[3]MI!$Q$35</definedName>
    <definedName name="LTF">[3]Labour!$G$91</definedName>
    <definedName name="M_DET">#REF!</definedName>
    <definedName name="MAH">[3]Labour!$D$37</definedName>
    <definedName name="Margins">[11]Summary!$G$4:$G$8</definedName>
    <definedName name="MB30N">[3]Equipment!$L$107</definedName>
    <definedName name="MB30OER">[3]Equipment!$J$107</definedName>
    <definedName name="MB30OOR">[3]Equipment!$K$107</definedName>
    <definedName name="MB30ORR">[3]Equipment!$I$107</definedName>
    <definedName name="MB48N">[3]Equipment!$L$106</definedName>
    <definedName name="MB48OER">[3]Equipment!$J$106</definedName>
    <definedName name="MB48OOR">[3]Equipment!$K$106</definedName>
    <definedName name="MB48ORR">[3]Equipment!$I$106</definedName>
    <definedName name="MD">[3]MI!$L$35</definedName>
    <definedName name="ME_COMPLEX">'[7]Rates Allowances'!$AX$16</definedName>
    <definedName name="ME_ENVIRON">'[7]Rates Allowances'!$BC$16</definedName>
    <definedName name="ME_MANPOWER">'[7]Rates Allowances'!$BM$16</definedName>
    <definedName name="ME_OT">'[7]Rates Allowances'!$BR$16</definedName>
    <definedName name="ME_T_A">'[7]Rates Allowances'!$AN$16</definedName>
    <definedName name="ME_TRADES">'[7]Rates Allowances'!$BW$16</definedName>
    <definedName name="ME_U_O">'[7]Rates Allowances'!$AD$16</definedName>
    <definedName name="ME_UNIT">'[7]Rates Allowances'!$AI$16</definedName>
    <definedName name="ME_WEATHER">'[7]Rates Allowances'!$BH$16</definedName>
    <definedName name="meDate">'[4]Front Sheet'!$D$10</definedName>
    <definedName name="monthList">[4]VLOOKUP!$H$1:$H$12</definedName>
    <definedName name="MT">[5]Cover!$J$3</definedName>
    <definedName name="MWSN">[3]Equipment!$L$75</definedName>
    <definedName name="MWSOR">[3]Equipment!$E$75</definedName>
    <definedName name="MWSRR">[3]Equipment!$D$75</definedName>
    <definedName name="N_DET">#REF!</definedName>
    <definedName name="O100AH">[3]Labour!$D$38</definedName>
    <definedName name="O100B">[3]Labour!$L$38</definedName>
    <definedName name="O100BR">[3]Labour!$C$38</definedName>
    <definedName name="O100S">[3]Labour!$J$38</definedName>
    <definedName name="O100T">[3]Labour!$K$38</definedName>
    <definedName name="O105AH">[3]Labour!$D$39</definedName>
    <definedName name="O105B">[3]Labour!$L$39</definedName>
    <definedName name="O105BR">[3]Labour!$C$39</definedName>
    <definedName name="O105S">[3]Labour!$J$39</definedName>
    <definedName name="O105T">[3]Labour!$K$39</definedName>
    <definedName name="O110AH">[3]Labour!$D$40</definedName>
    <definedName name="O110B">[3]Labour!$L$40</definedName>
    <definedName name="O110BR">[3]Labour!$C$40</definedName>
    <definedName name="O110S">[3]Labour!$J$40</definedName>
    <definedName name="O110T">[3]Labour!$K$40</definedName>
    <definedName name="O120AH">[3]Labour!$D$41</definedName>
    <definedName name="O120B">[3]Labour!$L$41</definedName>
    <definedName name="O120BR">[3]Labour!$C$41</definedName>
    <definedName name="O120S">[3]Labour!$J$41</definedName>
    <definedName name="O120T">[3]Labour!$K$41</definedName>
    <definedName name="O123BR">[3]Labour!$C$57</definedName>
    <definedName name="O125AH">[3]Labour!$D$42</definedName>
    <definedName name="O125B">[3]Labour!$L$42</definedName>
    <definedName name="O125S">[3]Labour!$J$42</definedName>
    <definedName name="O125T">[3]Labour!$K$42</definedName>
    <definedName name="O130AH">[3]Labour!$D$43</definedName>
    <definedName name="O130B">[3]Labour!$L$43</definedName>
    <definedName name="O130BR">[3]Labour!$C$43</definedName>
    <definedName name="O130S">[3]Labour!$J$43</definedName>
    <definedName name="O130T">[3]Labour!$K$43</definedName>
    <definedName name="O140AH">[3]Labour!$D$44</definedName>
    <definedName name="O140B">[3]Labour!$L$44</definedName>
    <definedName name="O140BR">[3]Labour!$C$44</definedName>
    <definedName name="O140S">[3]Labour!$J$44</definedName>
    <definedName name="O140T">[3]Labour!$K$44</definedName>
    <definedName name="O150AH">[3]Labour!$D$45</definedName>
    <definedName name="O150B">[3]Labour!$L$45</definedName>
    <definedName name="O150BR">[3]Labour!$C$45</definedName>
    <definedName name="O150S">[3]Labour!$J$45</definedName>
    <definedName name="O150T">[3]Labour!$K$45</definedName>
    <definedName name="O160AH">[3]Labour!$D$46</definedName>
    <definedName name="O160B">[3]Labour!$L$46</definedName>
    <definedName name="O160BR">[3]Labour!$C$46</definedName>
    <definedName name="O160S">[3]Labour!$J$46</definedName>
    <definedName name="O160T">[3]Labour!$K$46</definedName>
    <definedName name="O210AH">[3]Labour!$D$47</definedName>
    <definedName name="O210B">[3]Labour!$L$47</definedName>
    <definedName name="O210BR">[3]Labour!$C$47</definedName>
    <definedName name="O210S">[3]Labour!$J$47</definedName>
    <definedName name="O210T">[3]Labour!$K$47</definedName>
    <definedName name="O215AH">[3]Labour!#REF!</definedName>
    <definedName name="O215B">[3]Labour!$L$48</definedName>
    <definedName name="O215BR">[3]Labour!#REF!</definedName>
    <definedName name="O215S">[3]Labour!#REF!</definedName>
    <definedName name="O215T">[3]Labour!$K$48</definedName>
    <definedName name="O216AH">[3]Labour!#REF!</definedName>
    <definedName name="O216B">[3]Labour!$L$49</definedName>
    <definedName name="O216BR">[3]Labour!$C$49</definedName>
    <definedName name="O216S">[3]Labour!$J$49</definedName>
    <definedName name="O216T">[3]Labour!$K$49</definedName>
    <definedName name="O216TF">[3]Labour!$I$49</definedName>
    <definedName name="O220AH">[3]Labour!$D$50</definedName>
    <definedName name="O220B">[3]Labour!$L$50</definedName>
    <definedName name="O220BR">[3]Labour!$C$50</definedName>
    <definedName name="O220S">[3]Labour!$J$50</definedName>
    <definedName name="O220T">[3]Labour!$K$50</definedName>
    <definedName name="O230AH">[3]Labour!$D$52</definedName>
    <definedName name="O230B">[3]Labour!$L$52</definedName>
    <definedName name="O230BR">[3]Labour!$C$52</definedName>
    <definedName name="O230S">[3]Labour!$J$52</definedName>
    <definedName name="O230T">[3]Labour!$K$52</definedName>
    <definedName name="O235AH">[3]Labour!$D$54</definedName>
    <definedName name="O235B">[3]Labour!$L$54</definedName>
    <definedName name="O235BR">[3]Labour!$C$54</definedName>
    <definedName name="O235S">[3]Labour!$J$54</definedName>
    <definedName name="O235T">[3]Labour!$K$54</definedName>
    <definedName name="O240AH">[3]Labour!$D$53</definedName>
    <definedName name="O240B">[3]Labour!$L$53</definedName>
    <definedName name="O240BR">[3]Labour!$C$53</definedName>
    <definedName name="O240S">[3]Labour!$J$53</definedName>
    <definedName name="O240T">[3]Labour!$K$53</definedName>
    <definedName name="OHP">[5]Cover!$F$6</definedName>
    <definedName name="OHW">[3]Labour!$E$37</definedName>
    <definedName name="OOF">[3]Labour!$H$37</definedName>
    <definedName name="OPF">[3]Labour!$F$37</definedName>
    <definedName name="OTF">[3]Labour!$G$37</definedName>
    <definedName name="p" hidden="1">#REF!</definedName>
    <definedName name="P_DET">#REF!</definedName>
    <definedName name="PAGE_1">#REF!</definedName>
    <definedName name="PAGE_2">#REF!</definedName>
    <definedName name="PAGE_3">#REF!</definedName>
    <definedName name="page1">#REF!</definedName>
    <definedName name="page2">#REF!</definedName>
    <definedName name="page3">#REF!</definedName>
    <definedName name="PD02N">[3]Equipment!$L$139</definedName>
    <definedName name="PD02OER">[3]Equipment!$J$139</definedName>
    <definedName name="PD02OOR">[3]Equipment!$K$139</definedName>
    <definedName name="PD02OR">[3]Equipment!$E$139</definedName>
    <definedName name="PD02ORR">[3]Equipment!$I$139</definedName>
    <definedName name="PD02RR">[3]Equipment!$D$139</definedName>
    <definedName name="PD03N">[3]Equipment!$L$138</definedName>
    <definedName name="PD03OER">[3]Equipment!$J$138</definedName>
    <definedName name="PD03OOR">[3]Equipment!$K$138</definedName>
    <definedName name="PD03OR">[3]Equipment!$E$138</definedName>
    <definedName name="PD03ORR">[3]Equipment!$I$138</definedName>
    <definedName name="PD03RR">[3]Equipment!$D$138</definedName>
    <definedName name="PD06N">[3]Equipment!$L$137</definedName>
    <definedName name="PD06OER">[3]Equipment!$J$137</definedName>
    <definedName name="PD06OOR">[3]Equipment!$K$137</definedName>
    <definedName name="PD06OR">[3]Equipment!$E$137</definedName>
    <definedName name="PD06ORR">[3]Equipment!$I$137</definedName>
    <definedName name="PD06RR">[3]Equipment!$D$137</definedName>
    <definedName name="PE10N">[3]Equipment!$L$136</definedName>
    <definedName name="PE10OER">[3]Equipment!$J$136</definedName>
    <definedName name="PE10OOR">[3]Equipment!$K$136</definedName>
    <definedName name="PE10OR">[3]Equipment!$E$136</definedName>
    <definedName name="PE10ORR">[3]Equipment!$I$136</definedName>
    <definedName name="PE10RR">[3]Equipment!$D$136</definedName>
    <definedName name="PFH8N">[3]Equipment!$L$134</definedName>
    <definedName name="PFH8OER">[3]Equipment!$J$134</definedName>
    <definedName name="PFH8OOR">[3]Equipment!$K$134</definedName>
    <definedName name="PFH8OR">[3]Equipment!$E$134</definedName>
    <definedName name="PFH8ORR">[3]Equipment!$I$134</definedName>
    <definedName name="PFH8RR">[3]Equipment!$D$134</definedName>
    <definedName name="PFL6N">[3]Equipment!$L$133</definedName>
    <definedName name="PFL6OER">[3]Equipment!$J$133</definedName>
    <definedName name="PFL6OOR">[3]Equipment!$K$133</definedName>
    <definedName name="PFL6OR">[3]Equipment!$E$133</definedName>
    <definedName name="PFL6ORR">[3]Equipment!$I$133</definedName>
    <definedName name="PN">[5]Cover!$B$1</definedName>
    <definedName name="PRL6RR">[3]Equipment!$D$133</definedName>
    <definedName name="PS02N">[3]Equipment!$L$135</definedName>
    <definedName name="PS02OER">[3]Equipment!$J$135</definedName>
    <definedName name="PS02OOR">[3]Equipment!$K$135</definedName>
    <definedName name="PS02OR">[3]Equipment!$E$135</definedName>
    <definedName name="PS02ORR">[3]Equipment!$I$135</definedName>
    <definedName name="PS02RR">[3]Equipment!$D$135</definedName>
    <definedName name="PSW_CALCULATE_0" hidden="1">#REF!</definedName>
    <definedName name="PSW_SAVE_0" hidden="1">#REF!</definedName>
    <definedName name="PSWGrid_0_0" hidden="1">#REF!</definedName>
    <definedName name="PSWGrid_0_1" hidden="1">#REF!</definedName>
    <definedName name="PSWGrid_0_2" hidden="1">#REF!</definedName>
    <definedName name="PSWGrid_0_3" hidden="1">#REF!</definedName>
    <definedName name="PSWInput_0_0" hidden="1">#REF!</definedName>
    <definedName name="PSWInput_0_1" hidden="1">#REF!</definedName>
    <definedName name="PSWInput_0_2" hidden="1">#REF!</definedName>
    <definedName name="PSWInput_0_3" hidden="1">#REF!</definedName>
    <definedName name="PSWList_0_0" hidden="1">#REF!</definedName>
    <definedName name="PSWList_0_1" hidden="1">#REF!</definedName>
    <definedName name="PSWList_0_2" hidden="1">#REF!</definedName>
    <definedName name="PSWList_0_3" hidden="1">#REF!</definedName>
    <definedName name="PSWMergedSavingCell_0_0" hidden="1">#REF!</definedName>
    <definedName name="PSWMergedSavingCell_0_1" hidden="1">#REF!</definedName>
    <definedName name="PSWMergedSavingCell_0_10" hidden="1">#REF!</definedName>
    <definedName name="PSWMergedSavingCell_0_100" hidden="1">#REF!</definedName>
    <definedName name="PSWMergedSavingCell_0_101" hidden="1">#REF!</definedName>
    <definedName name="PSWMergedSavingCell_0_102" hidden="1">#REF!</definedName>
    <definedName name="PSWMergedSavingCell_0_103" hidden="1">#REF!</definedName>
    <definedName name="PSWMergedSavingCell_0_104" hidden="1">#REF!</definedName>
    <definedName name="PSWMergedSavingCell_0_105" hidden="1">#REF!</definedName>
    <definedName name="PSWMergedSavingCell_0_106" hidden="1">#REF!</definedName>
    <definedName name="PSWMergedSavingCell_0_107" hidden="1">#REF!</definedName>
    <definedName name="PSWMergedSavingCell_0_108" hidden="1">#REF!</definedName>
    <definedName name="PSWMergedSavingCell_0_109" hidden="1">#REF!</definedName>
    <definedName name="PSWMergedSavingCell_0_11" hidden="1">#REF!</definedName>
    <definedName name="PSWMergedSavingCell_0_110" hidden="1">#REF!</definedName>
    <definedName name="PSWMergedSavingCell_0_111" hidden="1">#REF!</definedName>
    <definedName name="PSWMergedSavingCell_0_112" hidden="1">#REF!</definedName>
    <definedName name="PSWMergedSavingCell_0_113" hidden="1">#REF!</definedName>
    <definedName name="PSWMergedSavingCell_0_114" hidden="1">#REF!</definedName>
    <definedName name="PSWMergedSavingCell_0_115" hidden="1">#REF!</definedName>
    <definedName name="PSWMergedSavingCell_0_116" hidden="1">#REF!</definedName>
    <definedName name="PSWMergedSavingCell_0_117" hidden="1">#REF!</definedName>
    <definedName name="PSWMergedSavingCell_0_118" hidden="1">#REF!</definedName>
    <definedName name="PSWMergedSavingCell_0_119" hidden="1">#REF!</definedName>
    <definedName name="PSWMergedSavingCell_0_12" hidden="1">#REF!</definedName>
    <definedName name="PSWMergedSavingCell_0_120" hidden="1">#REF!</definedName>
    <definedName name="PSWMergedSavingCell_0_121" hidden="1">#REF!</definedName>
    <definedName name="PSWMergedSavingCell_0_122" hidden="1">#REF!</definedName>
    <definedName name="PSWMergedSavingCell_0_123" hidden="1">#REF!</definedName>
    <definedName name="PSWMergedSavingCell_0_124" hidden="1">#REF!</definedName>
    <definedName name="PSWMergedSavingCell_0_125" hidden="1">#REF!</definedName>
    <definedName name="PSWMergedSavingCell_0_126" hidden="1">#REF!</definedName>
    <definedName name="PSWMergedSavingCell_0_127" hidden="1">#REF!</definedName>
    <definedName name="PSWMergedSavingCell_0_128" hidden="1">#REF!</definedName>
    <definedName name="PSWMergedSavingCell_0_129" hidden="1">#REF!</definedName>
    <definedName name="PSWMergedSavingCell_0_13" hidden="1">#REF!</definedName>
    <definedName name="PSWMergedSavingCell_0_130" hidden="1">#REF!</definedName>
    <definedName name="PSWMergedSavingCell_0_131" hidden="1">#REF!</definedName>
    <definedName name="PSWMergedSavingCell_0_132" hidden="1">#REF!</definedName>
    <definedName name="PSWMergedSavingCell_0_133" hidden="1">#REF!</definedName>
    <definedName name="PSWMergedSavingCell_0_134" hidden="1">#REF!</definedName>
    <definedName name="PSWMergedSavingCell_0_135" hidden="1">#REF!</definedName>
    <definedName name="PSWMergedSavingCell_0_136" hidden="1">#REF!</definedName>
    <definedName name="PSWMergedSavingCell_0_137" hidden="1">#REF!</definedName>
    <definedName name="PSWMergedSavingCell_0_138" hidden="1">#REF!</definedName>
    <definedName name="PSWMergedSavingCell_0_139" hidden="1">#REF!</definedName>
    <definedName name="PSWMergedSavingCell_0_14" hidden="1">#REF!</definedName>
    <definedName name="PSWMergedSavingCell_0_140" hidden="1">#REF!</definedName>
    <definedName name="PSWMergedSavingCell_0_141" hidden="1">#REF!</definedName>
    <definedName name="PSWMergedSavingCell_0_142" hidden="1">#REF!</definedName>
    <definedName name="PSWMergedSavingCell_0_143" hidden="1">#REF!</definedName>
    <definedName name="PSWMergedSavingCell_0_144" hidden="1">#REF!</definedName>
    <definedName name="PSWMergedSavingCell_0_145" hidden="1">#REF!</definedName>
    <definedName name="PSWMergedSavingCell_0_146" hidden="1">#REF!</definedName>
    <definedName name="PSWMergedSavingCell_0_147" hidden="1">#REF!</definedName>
    <definedName name="PSWMergedSavingCell_0_148" hidden="1">#REF!</definedName>
    <definedName name="PSWMergedSavingCell_0_149" hidden="1">#REF!</definedName>
    <definedName name="PSWMergedSavingCell_0_15" hidden="1">#REF!</definedName>
    <definedName name="PSWMergedSavingCell_0_150" hidden="1">#REF!</definedName>
    <definedName name="PSWMergedSavingCell_0_151" hidden="1">#REF!</definedName>
    <definedName name="PSWMergedSavingCell_0_152" hidden="1">#REF!</definedName>
    <definedName name="PSWMergedSavingCell_0_153" hidden="1">#REF!</definedName>
    <definedName name="PSWMergedSavingCell_0_154" hidden="1">#REF!</definedName>
    <definedName name="PSWMergedSavingCell_0_155" hidden="1">#REF!</definedName>
    <definedName name="PSWMergedSavingCell_0_156" hidden="1">#REF!</definedName>
    <definedName name="PSWMergedSavingCell_0_157" hidden="1">#REF!</definedName>
    <definedName name="PSWMergedSavingCell_0_158" hidden="1">#REF!</definedName>
    <definedName name="PSWMergedSavingCell_0_159" hidden="1">#REF!</definedName>
    <definedName name="PSWMergedSavingCell_0_16" hidden="1">#REF!</definedName>
    <definedName name="PSWMergedSavingCell_0_160" hidden="1">#REF!</definedName>
    <definedName name="PSWMergedSavingCell_0_161" hidden="1">#REF!</definedName>
    <definedName name="PSWMergedSavingCell_0_162" hidden="1">#REF!</definedName>
    <definedName name="PSWMergedSavingCell_0_163" hidden="1">#REF!</definedName>
    <definedName name="PSWMergedSavingCell_0_164" hidden="1">#REF!</definedName>
    <definedName name="PSWMergedSavingCell_0_165" hidden="1">#REF!</definedName>
    <definedName name="PSWMergedSavingCell_0_166" hidden="1">#REF!</definedName>
    <definedName name="PSWMergedSavingCell_0_167" hidden="1">#REF!</definedName>
    <definedName name="PSWMergedSavingCell_0_168" hidden="1">#REF!</definedName>
    <definedName name="PSWMergedSavingCell_0_169" hidden="1">#REF!</definedName>
    <definedName name="PSWMergedSavingCell_0_17" hidden="1">#REF!</definedName>
    <definedName name="PSWMergedSavingCell_0_170" hidden="1">#REF!</definedName>
    <definedName name="PSWMergedSavingCell_0_171" hidden="1">#REF!</definedName>
    <definedName name="PSWMergedSavingCell_0_172" hidden="1">#REF!</definedName>
    <definedName name="PSWMergedSavingCell_0_173" hidden="1">#REF!</definedName>
    <definedName name="PSWMergedSavingCell_0_174" hidden="1">#REF!</definedName>
    <definedName name="PSWMergedSavingCell_0_175" hidden="1">#REF!</definedName>
    <definedName name="PSWMergedSavingCell_0_176" hidden="1">#REF!</definedName>
    <definedName name="PSWMergedSavingCell_0_177" hidden="1">#REF!</definedName>
    <definedName name="PSWMergedSavingCell_0_178" hidden="1">#REF!</definedName>
    <definedName name="PSWMergedSavingCell_0_179" hidden="1">#REF!</definedName>
    <definedName name="PSWMergedSavingCell_0_18" hidden="1">#REF!</definedName>
    <definedName name="PSWMergedSavingCell_0_180" hidden="1">#REF!</definedName>
    <definedName name="PSWMergedSavingCell_0_181" hidden="1">#REF!</definedName>
    <definedName name="PSWMergedSavingCell_0_182" hidden="1">#REF!</definedName>
    <definedName name="PSWMergedSavingCell_0_183" hidden="1">#REF!</definedName>
    <definedName name="PSWMergedSavingCell_0_184" hidden="1">#REF!</definedName>
    <definedName name="PSWMergedSavingCell_0_185" hidden="1">#REF!</definedName>
    <definedName name="PSWMergedSavingCell_0_186" hidden="1">#REF!</definedName>
    <definedName name="PSWMergedSavingCell_0_187" hidden="1">#REF!</definedName>
    <definedName name="PSWMergedSavingCell_0_188" hidden="1">#REF!</definedName>
    <definedName name="PSWMergedSavingCell_0_189" hidden="1">#REF!</definedName>
    <definedName name="PSWMergedSavingCell_0_19" hidden="1">#REF!</definedName>
    <definedName name="PSWMergedSavingCell_0_190" hidden="1">#REF!</definedName>
    <definedName name="PSWMergedSavingCell_0_191" hidden="1">#REF!</definedName>
    <definedName name="PSWMergedSavingCell_0_192" hidden="1">#REF!</definedName>
    <definedName name="PSWMergedSavingCell_0_193" hidden="1">#REF!</definedName>
    <definedName name="PSWMergedSavingCell_0_194" hidden="1">#REF!</definedName>
    <definedName name="PSWMergedSavingCell_0_195" hidden="1">#REF!</definedName>
    <definedName name="PSWMergedSavingCell_0_196" hidden="1">#REF!</definedName>
    <definedName name="PSWMergedSavingCell_0_197" hidden="1">#REF!</definedName>
    <definedName name="PSWMergedSavingCell_0_198" hidden="1">#REF!</definedName>
    <definedName name="PSWMergedSavingCell_0_199" hidden="1">#REF!</definedName>
    <definedName name="PSWMergedSavingCell_0_2" hidden="1">#REF!</definedName>
    <definedName name="PSWMergedSavingCell_0_20" hidden="1">#REF!</definedName>
    <definedName name="PSWMergedSavingCell_0_200" hidden="1">#REF!</definedName>
    <definedName name="PSWMergedSavingCell_0_201" hidden="1">#REF!</definedName>
    <definedName name="PSWMergedSavingCell_0_202" hidden="1">#REF!</definedName>
    <definedName name="PSWMergedSavingCell_0_203" hidden="1">#REF!</definedName>
    <definedName name="PSWMergedSavingCell_0_204" hidden="1">#REF!</definedName>
    <definedName name="PSWMergedSavingCell_0_205" hidden="1">#REF!</definedName>
    <definedName name="PSWMergedSavingCell_0_206" hidden="1">#REF!</definedName>
    <definedName name="PSWMergedSavingCell_0_207" hidden="1">#REF!</definedName>
    <definedName name="PSWMergedSavingCell_0_208" hidden="1">#REF!</definedName>
    <definedName name="PSWMergedSavingCell_0_209" hidden="1">#REF!</definedName>
    <definedName name="PSWMergedSavingCell_0_21" hidden="1">#REF!</definedName>
    <definedName name="PSWMergedSavingCell_0_210" hidden="1">#REF!</definedName>
    <definedName name="PSWMergedSavingCell_0_211" hidden="1">#REF!</definedName>
    <definedName name="PSWMergedSavingCell_0_212" hidden="1">#REF!</definedName>
    <definedName name="PSWMergedSavingCell_0_213" hidden="1">#REF!</definedName>
    <definedName name="PSWMergedSavingCell_0_214" hidden="1">#REF!</definedName>
    <definedName name="PSWMergedSavingCell_0_215" hidden="1">#REF!</definedName>
    <definedName name="PSWMergedSavingCell_0_216" hidden="1">#REF!</definedName>
    <definedName name="PSWMergedSavingCell_0_217" hidden="1">#REF!</definedName>
    <definedName name="PSWMergedSavingCell_0_218" hidden="1">#REF!</definedName>
    <definedName name="PSWMergedSavingCell_0_219" hidden="1">#REF!</definedName>
    <definedName name="PSWMergedSavingCell_0_22" hidden="1">#REF!</definedName>
    <definedName name="PSWMergedSavingCell_0_220" hidden="1">#REF!</definedName>
    <definedName name="PSWMergedSavingCell_0_221" hidden="1">#REF!</definedName>
    <definedName name="PSWMergedSavingCell_0_222" hidden="1">#REF!</definedName>
    <definedName name="PSWMergedSavingCell_0_223" hidden="1">#REF!</definedName>
    <definedName name="PSWMergedSavingCell_0_224" hidden="1">#REF!</definedName>
    <definedName name="PSWMergedSavingCell_0_225" hidden="1">#REF!</definedName>
    <definedName name="PSWMergedSavingCell_0_226" hidden="1">#REF!</definedName>
    <definedName name="PSWMergedSavingCell_0_227" hidden="1">#REF!</definedName>
    <definedName name="PSWMergedSavingCell_0_228" hidden="1">#REF!</definedName>
    <definedName name="PSWMergedSavingCell_0_229" hidden="1">#REF!</definedName>
    <definedName name="PSWMergedSavingCell_0_23" hidden="1">#REF!</definedName>
    <definedName name="PSWMergedSavingCell_0_230" hidden="1">#REF!</definedName>
    <definedName name="PSWMergedSavingCell_0_231" hidden="1">#REF!</definedName>
    <definedName name="PSWMergedSavingCell_0_232" hidden="1">#REF!</definedName>
    <definedName name="PSWMergedSavingCell_0_233" hidden="1">#REF!</definedName>
    <definedName name="PSWMergedSavingCell_0_234" hidden="1">#REF!</definedName>
    <definedName name="PSWMergedSavingCell_0_235" hidden="1">#REF!</definedName>
    <definedName name="PSWMergedSavingCell_0_236" hidden="1">#REF!</definedName>
    <definedName name="PSWMergedSavingCell_0_237" hidden="1">#REF!</definedName>
    <definedName name="PSWMergedSavingCell_0_238" hidden="1">#REF!</definedName>
    <definedName name="PSWMergedSavingCell_0_239" hidden="1">#REF!</definedName>
    <definedName name="PSWMergedSavingCell_0_24" hidden="1">#REF!</definedName>
    <definedName name="PSWMergedSavingCell_0_240" hidden="1">#REF!</definedName>
    <definedName name="PSWMergedSavingCell_0_241" hidden="1">#REF!</definedName>
    <definedName name="PSWMergedSavingCell_0_242" hidden="1">#REF!</definedName>
    <definedName name="PSWMergedSavingCell_0_243" hidden="1">#REF!</definedName>
    <definedName name="PSWMergedSavingCell_0_244" hidden="1">#REF!</definedName>
    <definedName name="PSWMergedSavingCell_0_245" hidden="1">#REF!</definedName>
    <definedName name="PSWMergedSavingCell_0_246" hidden="1">#REF!</definedName>
    <definedName name="PSWMergedSavingCell_0_247" hidden="1">#REF!</definedName>
    <definedName name="PSWMergedSavingCell_0_248" hidden="1">#REF!</definedName>
    <definedName name="PSWMergedSavingCell_0_249" hidden="1">#REF!</definedName>
    <definedName name="PSWMergedSavingCell_0_25" hidden="1">#REF!</definedName>
    <definedName name="PSWMergedSavingCell_0_250" hidden="1">#REF!</definedName>
    <definedName name="PSWMergedSavingCell_0_251" hidden="1">#REF!</definedName>
    <definedName name="PSWMergedSavingCell_0_252" hidden="1">#REF!</definedName>
    <definedName name="PSWMergedSavingCell_0_253" hidden="1">#REF!</definedName>
    <definedName name="PSWMergedSavingCell_0_254" hidden="1">#REF!</definedName>
    <definedName name="PSWMergedSavingCell_0_255" hidden="1">#REF!</definedName>
    <definedName name="PSWMergedSavingCell_0_256" hidden="1">#REF!</definedName>
    <definedName name="PSWMergedSavingCell_0_257" hidden="1">#REF!</definedName>
    <definedName name="PSWMergedSavingCell_0_258" hidden="1">#REF!</definedName>
    <definedName name="PSWMergedSavingCell_0_259" hidden="1">#REF!</definedName>
    <definedName name="PSWMergedSavingCell_0_26" hidden="1">#REF!</definedName>
    <definedName name="PSWMergedSavingCell_0_260" hidden="1">#REF!</definedName>
    <definedName name="PSWMergedSavingCell_0_261" hidden="1">#REF!</definedName>
    <definedName name="PSWMergedSavingCell_0_262" hidden="1">#REF!</definedName>
    <definedName name="PSWMergedSavingCell_0_263" hidden="1">#REF!</definedName>
    <definedName name="PSWMergedSavingCell_0_264" hidden="1">#REF!</definedName>
    <definedName name="PSWMergedSavingCell_0_265" hidden="1">#REF!</definedName>
    <definedName name="PSWMergedSavingCell_0_266" hidden="1">#REF!</definedName>
    <definedName name="PSWMergedSavingCell_0_267" hidden="1">#REF!</definedName>
    <definedName name="PSWMergedSavingCell_0_268" hidden="1">#REF!</definedName>
    <definedName name="PSWMergedSavingCell_0_269" hidden="1">#REF!</definedName>
    <definedName name="PSWMergedSavingCell_0_27" hidden="1">#REF!</definedName>
    <definedName name="PSWMergedSavingCell_0_270" hidden="1">#REF!</definedName>
    <definedName name="PSWMergedSavingCell_0_271" hidden="1">#REF!</definedName>
    <definedName name="PSWMergedSavingCell_0_272" hidden="1">#REF!</definedName>
    <definedName name="PSWMergedSavingCell_0_273" hidden="1">#REF!</definedName>
    <definedName name="PSWMergedSavingCell_0_274" hidden="1">#REF!</definedName>
    <definedName name="PSWMergedSavingCell_0_275" hidden="1">#REF!</definedName>
    <definedName name="PSWMergedSavingCell_0_276" hidden="1">#REF!</definedName>
    <definedName name="PSWMergedSavingCell_0_277" hidden="1">#REF!</definedName>
    <definedName name="PSWMergedSavingCell_0_278" hidden="1">#REF!</definedName>
    <definedName name="PSWMergedSavingCell_0_279" hidden="1">#REF!</definedName>
    <definedName name="PSWMergedSavingCell_0_28" hidden="1">#REF!</definedName>
    <definedName name="PSWMergedSavingCell_0_280" hidden="1">#REF!</definedName>
    <definedName name="PSWMergedSavingCell_0_281" hidden="1">#REF!</definedName>
    <definedName name="PSWMergedSavingCell_0_282" hidden="1">#REF!</definedName>
    <definedName name="PSWMergedSavingCell_0_283" hidden="1">#REF!</definedName>
    <definedName name="PSWMergedSavingCell_0_284" hidden="1">#REF!</definedName>
    <definedName name="PSWMergedSavingCell_0_285" hidden="1">#REF!</definedName>
    <definedName name="PSWMergedSavingCell_0_286" hidden="1">#REF!</definedName>
    <definedName name="PSWMergedSavingCell_0_287" hidden="1">#REF!</definedName>
    <definedName name="PSWMergedSavingCell_0_288" hidden="1">#REF!</definedName>
    <definedName name="PSWMergedSavingCell_0_289" hidden="1">#REF!</definedName>
    <definedName name="PSWMergedSavingCell_0_29" hidden="1">#REF!</definedName>
    <definedName name="PSWMergedSavingCell_0_290" hidden="1">#REF!</definedName>
    <definedName name="PSWMergedSavingCell_0_291" hidden="1">#REF!</definedName>
    <definedName name="PSWMergedSavingCell_0_292" hidden="1">#REF!</definedName>
    <definedName name="PSWMergedSavingCell_0_293" hidden="1">#REF!</definedName>
    <definedName name="PSWMergedSavingCell_0_294" hidden="1">#REF!</definedName>
    <definedName name="PSWMergedSavingCell_0_295" hidden="1">#REF!</definedName>
    <definedName name="PSWMergedSavingCell_0_296" hidden="1">#REF!</definedName>
    <definedName name="PSWMergedSavingCell_0_297" hidden="1">#REF!</definedName>
    <definedName name="PSWMergedSavingCell_0_298" hidden="1">#REF!</definedName>
    <definedName name="PSWMergedSavingCell_0_299" hidden="1">#REF!</definedName>
    <definedName name="PSWMergedSavingCell_0_3" hidden="1">#REF!</definedName>
    <definedName name="PSWMergedSavingCell_0_30" hidden="1">#REF!</definedName>
    <definedName name="PSWMergedSavingCell_0_300" hidden="1">#REF!</definedName>
    <definedName name="PSWMergedSavingCell_0_301" hidden="1">#REF!</definedName>
    <definedName name="PSWMergedSavingCell_0_302" hidden="1">#REF!</definedName>
    <definedName name="PSWMergedSavingCell_0_303" hidden="1">#REF!</definedName>
    <definedName name="PSWMergedSavingCell_0_304" hidden="1">#REF!</definedName>
    <definedName name="PSWMergedSavingCell_0_305" hidden="1">#REF!</definedName>
    <definedName name="PSWMergedSavingCell_0_306" hidden="1">#REF!</definedName>
    <definedName name="PSWMergedSavingCell_0_307" hidden="1">#REF!</definedName>
    <definedName name="PSWMergedSavingCell_0_308" hidden="1">#REF!</definedName>
    <definedName name="PSWMergedSavingCell_0_309" hidden="1">#REF!</definedName>
    <definedName name="PSWMergedSavingCell_0_31" hidden="1">#REF!</definedName>
    <definedName name="PSWMergedSavingCell_0_310" hidden="1">#REF!</definedName>
    <definedName name="PSWMergedSavingCell_0_311" hidden="1">#REF!</definedName>
    <definedName name="PSWMergedSavingCell_0_312" hidden="1">#REF!</definedName>
    <definedName name="PSWMergedSavingCell_0_313" hidden="1">#REF!</definedName>
    <definedName name="PSWMergedSavingCell_0_314" hidden="1">#REF!</definedName>
    <definedName name="PSWMergedSavingCell_0_315" hidden="1">#REF!</definedName>
    <definedName name="PSWMergedSavingCell_0_316" hidden="1">#REF!</definedName>
    <definedName name="PSWMergedSavingCell_0_317" hidden="1">#REF!</definedName>
    <definedName name="PSWMergedSavingCell_0_318" hidden="1">#REF!</definedName>
    <definedName name="PSWMergedSavingCell_0_319" hidden="1">#REF!</definedName>
    <definedName name="PSWMergedSavingCell_0_32" hidden="1">#REF!</definedName>
    <definedName name="PSWMergedSavingCell_0_320" hidden="1">#REF!</definedName>
    <definedName name="PSWMergedSavingCell_0_321" hidden="1">#REF!</definedName>
    <definedName name="PSWMergedSavingCell_0_322" hidden="1">#REF!</definedName>
    <definedName name="PSWMergedSavingCell_0_323" hidden="1">#REF!</definedName>
    <definedName name="PSWMergedSavingCell_0_324" hidden="1">#REF!</definedName>
    <definedName name="PSWMergedSavingCell_0_325" hidden="1">#REF!</definedName>
    <definedName name="PSWMergedSavingCell_0_326" hidden="1">#REF!</definedName>
    <definedName name="PSWMergedSavingCell_0_327" hidden="1">#REF!</definedName>
    <definedName name="PSWMergedSavingCell_0_328" hidden="1">#REF!</definedName>
    <definedName name="PSWMergedSavingCell_0_329" hidden="1">#REF!</definedName>
    <definedName name="PSWMergedSavingCell_0_33" hidden="1">#REF!</definedName>
    <definedName name="PSWMergedSavingCell_0_330" hidden="1">#REF!</definedName>
    <definedName name="PSWMergedSavingCell_0_331" hidden="1">#REF!</definedName>
    <definedName name="PSWMergedSavingCell_0_332" hidden="1">#REF!</definedName>
    <definedName name="PSWMergedSavingCell_0_333" hidden="1">#REF!</definedName>
    <definedName name="PSWMergedSavingCell_0_334" hidden="1">#REF!</definedName>
    <definedName name="PSWMergedSavingCell_0_335" hidden="1">#REF!</definedName>
    <definedName name="PSWMergedSavingCell_0_336" hidden="1">#REF!</definedName>
    <definedName name="PSWMergedSavingCell_0_337" hidden="1">#REF!</definedName>
    <definedName name="PSWMergedSavingCell_0_338" hidden="1">#REF!</definedName>
    <definedName name="PSWMergedSavingCell_0_339" hidden="1">#REF!</definedName>
    <definedName name="PSWMergedSavingCell_0_34" hidden="1">#REF!</definedName>
    <definedName name="PSWMergedSavingCell_0_340" hidden="1">#REF!</definedName>
    <definedName name="PSWMergedSavingCell_0_341" hidden="1">#REF!</definedName>
    <definedName name="PSWMergedSavingCell_0_342" hidden="1">#REF!</definedName>
    <definedName name="PSWMergedSavingCell_0_343" hidden="1">#REF!</definedName>
    <definedName name="PSWMergedSavingCell_0_344" hidden="1">#REF!</definedName>
    <definedName name="PSWMergedSavingCell_0_345" hidden="1">#REF!</definedName>
    <definedName name="PSWMergedSavingCell_0_346" hidden="1">#REF!</definedName>
    <definedName name="PSWMergedSavingCell_0_347" hidden="1">#REF!</definedName>
    <definedName name="PSWMergedSavingCell_0_348" hidden="1">#REF!</definedName>
    <definedName name="PSWMergedSavingCell_0_349" hidden="1">#REF!</definedName>
    <definedName name="PSWMergedSavingCell_0_35" hidden="1">#REF!</definedName>
    <definedName name="PSWMergedSavingCell_0_350" hidden="1">#REF!</definedName>
    <definedName name="PSWMergedSavingCell_0_351" hidden="1">#REF!</definedName>
    <definedName name="PSWMergedSavingCell_0_352" hidden="1">#REF!</definedName>
    <definedName name="PSWMergedSavingCell_0_353" hidden="1">#REF!</definedName>
    <definedName name="PSWMergedSavingCell_0_354" hidden="1">#REF!</definedName>
    <definedName name="PSWMergedSavingCell_0_355" hidden="1">#REF!</definedName>
    <definedName name="PSWMergedSavingCell_0_356" hidden="1">#REF!</definedName>
    <definedName name="PSWMergedSavingCell_0_357" hidden="1">#REF!</definedName>
    <definedName name="PSWMergedSavingCell_0_358" hidden="1">#REF!</definedName>
    <definedName name="PSWMergedSavingCell_0_359" hidden="1">#REF!</definedName>
    <definedName name="PSWMergedSavingCell_0_36" hidden="1">#REF!</definedName>
    <definedName name="PSWMergedSavingCell_0_360" hidden="1">#REF!</definedName>
    <definedName name="PSWMergedSavingCell_0_361" hidden="1">#REF!</definedName>
    <definedName name="PSWMergedSavingCell_0_362" hidden="1">#REF!</definedName>
    <definedName name="PSWMergedSavingCell_0_363" hidden="1">#REF!</definedName>
    <definedName name="PSWMergedSavingCell_0_364" hidden="1">#REF!</definedName>
    <definedName name="PSWMergedSavingCell_0_365" hidden="1">#REF!</definedName>
    <definedName name="PSWMergedSavingCell_0_366" hidden="1">#REF!</definedName>
    <definedName name="PSWMergedSavingCell_0_367" hidden="1">#REF!</definedName>
    <definedName name="PSWMergedSavingCell_0_368" hidden="1">#REF!</definedName>
    <definedName name="PSWMergedSavingCell_0_369" hidden="1">#REF!</definedName>
    <definedName name="PSWMergedSavingCell_0_37" hidden="1">#REF!</definedName>
    <definedName name="PSWMergedSavingCell_0_370" hidden="1">#REF!</definedName>
    <definedName name="PSWMergedSavingCell_0_371" hidden="1">#REF!</definedName>
    <definedName name="PSWMergedSavingCell_0_372" hidden="1">#REF!</definedName>
    <definedName name="PSWMergedSavingCell_0_373" hidden="1">#REF!</definedName>
    <definedName name="PSWMergedSavingCell_0_374" hidden="1">#REF!</definedName>
    <definedName name="PSWMergedSavingCell_0_375" hidden="1">#REF!</definedName>
    <definedName name="PSWMergedSavingCell_0_376" hidden="1">#REF!</definedName>
    <definedName name="PSWMergedSavingCell_0_377" hidden="1">#REF!</definedName>
    <definedName name="PSWMergedSavingCell_0_378" hidden="1">#REF!</definedName>
    <definedName name="PSWMergedSavingCell_0_379" hidden="1">#REF!</definedName>
    <definedName name="PSWMergedSavingCell_0_38" hidden="1">#REF!</definedName>
    <definedName name="PSWMergedSavingCell_0_380" hidden="1">#REF!</definedName>
    <definedName name="PSWMergedSavingCell_0_381" hidden="1">#REF!</definedName>
    <definedName name="PSWMergedSavingCell_0_382" hidden="1">#REF!</definedName>
    <definedName name="PSWMergedSavingCell_0_383" hidden="1">#REF!</definedName>
    <definedName name="PSWMergedSavingCell_0_384" hidden="1">#REF!</definedName>
    <definedName name="PSWMergedSavingCell_0_385" hidden="1">#REF!</definedName>
    <definedName name="PSWMergedSavingCell_0_386" hidden="1">#REF!</definedName>
    <definedName name="PSWMergedSavingCell_0_387" hidden="1">#REF!</definedName>
    <definedName name="PSWMergedSavingCell_0_388" hidden="1">#REF!</definedName>
    <definedName name="PSWMergedSavingCell_0_389" hidden="1">#REF!</definedName>
    <definedName name="PSWMergedSavingCell_0_39" hidden="1">#REF!</definedName>
    <definedName name="PSWMergedSavingCell_0_390" hidden="1">#REF!</definedName>
    <definedName name="PSWMergedSavingCell_0_391" hidden="1">#REF!</definedName>
    <definedName name="PSWMergedSavingCell_0_392" hidden="1">#REF!</definedName>
    <definedName name="PSWMergedSavingCell_0_393" hidden="1">#REF!</definedName>
    <definedName name="PSWMergedSavingCell_0_394" hidden="1">#REF!</definedName>
    <definedName name="PSWMergedSavingCell_0_395" hidden="1">#REF!</definedName>
    <definedName name="PSWMergedSavingCell_0_396" hidden="1">#REF!</definedName>
    <definedName name="PSWMergedSavingCell_0_397" hidden="1">#REF!</definedName>
    <definedName name="PSWMergedSavingCell_0_398" hidden="1">#REF!</definedName>
    <definedName name="PSWMergedSavingCell_0_399" hidden="1">#REF!</definedName>
    <definedName name="PSWMergedSavingCell_0_4" hidden="1">#REF!</definedName>
    <definedName name="PSWMergedSavingCell_0_40" hidden="1">#REF!</definedName>
    <definedName name="PSWMergedSavingCell_0_400" hidden="1">#REF!</definedName>
    <definedName name="PSWMergedSavingCell_0_401" hidden="1">#REF!</definedName>
    <definedName name="PSWMergedSavingCell_0_402" hidden="1">#REF!</definedName>
    <definedName name="PSWMergedSavingCell_0_403" hidden="1">#REF!</definedName>
    <definedName name="PSWMergedSavingCell_0_404" hidden="1">#REF!</definedName>
    <definedName name="PSWMergedSavingCell_0_405" hidden="1">#REF!</definedName>
    <definedName name="PSWMergedSavingCell_0_406" hidden="1">#REF!</definedName>
    <definedName name="PSWMergedSavingCell_0_407" hidden="1">#REF!</definedName>
    <definedName name="PSWMergedSavingCell_0_408" hidden="1">#REF!</definedName>
    <definedName name="PSWMergedSavingCell_0_409" hidden="1">#REF!</definedName>
    <definedName name="PSWMergedSavingCell_0_41" hidden="1">#REF!</definedName>
    <definedName name="PSWMergedSavingCell_0_410" hidden="1">#REF!</definedName>
    <definedName name="PSWMergedSavingCell_0_411" hidden="1">#REF!</definedName>
    <definedName name="PSWMergedSavingCell_0_412" hidden="1">#REF!</definedName>
    <definedName name="PSWMergedSavingCell_0_413" hidden="1">#REF!</definedName>
    <definedName name="PSWMergedSavingCell_0_414" hidden="1">#REF!</definedName>
    <definedName name="PSWMergedSavingCell_0_415" hidden="1">#REF!</definedName>
    <definedName name="PSWMergedSavingCell_0_416" hidden="1">#REF!</definedName>
    <definedName name="PSWMergedSavingCell_0_417" hidden="1">#REF!</definedName>
    <definedName name="PSWMergedSavingCell_0_418" hidden="1">#REF!</definedName>
    <definedName name="PSWMergedSavingCell_0_419" hidden="1">#REF!</definedName>
    <definedName name="PSWMergedSavingCell_0_42" hidden="1">#REF!</definedName>
    <definedName name="PSWMergedSavingCell_0_420" hidden="1">#REF!</definedName>
    <definedName name="PSWMergedSavingCell_0_421" hidden="1">#REF!</definedName>
    <definedName name="PSWMergedSavingCell_0_422" hidden="1">#REF!</definedName>
    <definedName name="PSWMergedSavingCell_0_423" hidden="1">#REF!</definedName>
    <definedName name="PSWMergedSavingCell_0_424" hidden="1">#REF!</definedName>
    <definedName name="PSWMergedSavingCell_0_425" hidden="1">#REF!</definedName>
    <definedName name="PSWMergedSavingCell_0_426" hidden="1">#REF!</definedName>
    <definedName name="PSWMergedSavingCell_0_427" hidden="1">#REF!</definedName>
    <definedName name="PSWMergedSavingCell_0_428" hidden="1">#REF!</definedName>
    <definedName name="PSWMergedSavingCell_0_429" hidden="1">#REF!</definedName>
    <definedName name="PSWMergedSavingCell_0_43" hidden="1">#REF!</definedName>
    <definedName name="PSWMergedSavingCell_0_430" hidden="1">#REF!</definedName>
    <definedName name="PSWMergedSavingCell_0_431" hidden="1">#REF!</definedName>
    <definedName name="PSWMergedSavingCell_0_432" hidden="1">#REF!</definedName>
    <definedName name="PSWMergedSavingCell_0_433" hidden="1">#REF!</definedName>
    <definedName name="PSWMergedSavingCell_0_434" hidden="1">#REF!</definedName>
    <definedName name="PSWMergedSavingCell_0_435" hidden="1">#REF!</definedName>
    <definedName name="PSWMergedSavingCell_0_436" hidden="1">#REF!</definedName>
    <definedName name="PSWMergedSavingCell_0_437" hidden="1">#REF!</definedName>
    <definedName name="PSWMergedSavingCell_0_438" hidden="1">#REF!</definedName>
    <definedName name="PSWMergedSavingCell_0_439" hidden="1">#REF!</definedName>
    <definedName name="PSWMergedSavingCell_0_44" hidden="1">#REF!</definedName>
    <definedName name="PSWMergedSavingCell_0_440" hidden="1">#REF!</definedName>
    <definedName name="PSWMergedSavingCell_0_441" hidden="1">#REF!</definedName>
    <definedName name="PSWMergedSavingCell_0_442" hidden="1">#REF!</definedName>
    <definedName name="PSWMergedSavingCell_0_443" hidden="1">#REF!</definedName>
    <definedName name="PSWMergedSavingCell_0_444" hidden="1">#REF!</definedName>
    <definedName name="PSWMergedSavingCell_0_445" hidden="1">#REF!</definedName>
    <definedName name="PSWMergedSavingCell_0_446" hidden="1">#REF!</definedName>
    <definedName name="PSWMergedSavingCell_0_447" hidden="1">#REF!</definedName>
    <definedName name="PSWMergedSavingCell_0_448" hidden="1">#REF!</definedName>
    <definedName name="PSWMergedSavingCell_0_449" hidden="1">#REF!</definedName>
    <definedName name="PSWMergedSavingCell_0_45" hidden="1">#REF!</definedName>
    <definedName name="PSWMergedSavingCell_0_450" hidden="1">#REF!</definedName>
    <definedName name="PSWMergedSavingCell_0_451" hidden="1">#REF!</definedName>
    <definedName name="PSWMergedSavingCell_0_452" hidden="1">#REF!</definedName>
    <definedName name="PSWMergedSavingCell_0_453" hidden="1">#REF!</definedName>
    <definedName name="PSWMergedSavingCell_0_454" hidden="1">#REF!</definedName>
    <definedName name="PSWMergedSavingCell_0_455" hidden="1">#REF!</definedName>
    <definedName name="PSWMergedSavingCell_0_456" hidden="1">#REF!</definedName>
    <definedName name="PSWMergedSavingCell_0_457" hidden="1">#REF!</definedName>
    <definedName name="PSWMergedSavingCell_0_458" hidden="1">#REF!</definedName>
    <definedName name="PSWMergedSavingCell_0_459" hidden="1">#REF!</definedName>
    <definedName name="PSWMergedSavingCell_0_46" hidden="1">#REF!</definedName>
    <definedName name="PSWMergedSavingCell_0_460" hidden="1">#REF!</definedName>
    <definedName name="PSWMergedSavingCell_0_461" hidden="1">#REF!</definedName>
    <definedName name="PSWMergedSavingCell_0_462" hidden="1">#REF!</definedName>
    <definedName name="PSWMergedSavingCell_0_463" hidden="1">#REF!</definedName>
    <definedName name="PSWMergedSavingCell_0_464" hidden="1">#REF!</definedName>
    <definedName name="PSWMergedSavingCell_0_465" hidden="1">#REF!</definedName>
    <definedName name="PSWMergedSavingCell_0_466" hidden="1">#REF!</definedName>
    <definedName name="PSWMergedSavingCell_0_467" hidden="1">#REF!</definedName>
    <definedName name="PSWMergedSavingCell_0_468" hidden="1">#REF!</definedName>
    <definedName name="PSWMergedSavingCell_0_469" hidden="1">#REF!</definedName>
    <definedName name="PSWMergedSavingCell_0_47" hidden="1">#REF!</definedName>
    <definedName name="PSWMergedSavingCell_0_470" hidden="1">#REF!</definedName>
    <definedName name="PSWMergedSavingCell_0_471" hidden="1">#REF!</definedName>
    <definedName name="PSWMergedSavingCell_0_472" hidden="1">#REF!</definedName>
    <definedName name="PSWMergedSavingCell_0_473" hidden="1">#REF!</definedName>
    <definedName name="PSWMergedSavingCell_0_474" hidden="1">#REF!</definedName>
    <definedName name="PSWMergedSavingCell_0_475" hidden="1">#REF!</definedName>
    <definedName name="PSWMergedSavingCell_0_476" hidden="1">#REF!</definedName>
    <definedName name="PSWMergedSavingCell_0_477" hidden="1">#REF!</definedName>
    <definedName name="PSWMergedSavingCell_0_478" hidden="1">#REF!</definedName>
    <definedName name="PSWMergedSavingCell_0_479" hidden="1">#REF!</definedName>
    <definedName name="PSWMergedSavingCell_0_48" hidden="1">#REF!</definedName>
    <definedName name="PSWMergedSavingCell_0_480" hidden="1">#REF!</definedName>
    <definedName name="PSWMergedSavingCell_0_481" hidden="1">#REF!</definedName>
    <definedName name="PSWMergedSavingCell_0_482" hidden="1">#REF!</definedName>
    <definedName name="PSWMergedSavingCell_0_483" hidden="1">#REF!</definedName>
    <definedName name="PSWMergedSavingCell_0_484" hidden="1">#REF!</definedName>
    <definedName name="PSWMergedSavingCell_0_485" hidden="1">#REF!</definedName>
    <definedName name="PSWMergedSavingCell_0_486" hidden="1">#REF!</definedName>
    <definedName name="PSWMergedSavingCell_0_487" hidden="1">#REF!</definedName>
    <definedName name="PSWMergedSavingCell_0_488" hidden="1">#REF!</definedName>
    <definedName name="PSWMergedSavingCell_0_489" hidden="1">#REF!</definedName>
    <definedName name="PSWMergedSavingCell_0_49" hidden="1">#REF!</definedName>
    <definedName name="PSWMergedSavingCell_0_490" hidden="1">#REF!</definedName>
    <definedName name="PSWMergedSavingCell_0_491" hidden="1">#REF!</definedName>
    <definedName name="PSWMergedSavingCell_0_492" hidden="1">#REF!</definedName>
    <definedName name="PSWMergedSavingCell_0_493" hidden="1">#REF!</definedName>
    <definedName name="PSWMergedSavingCell_0_494" hidden="1">#REF!</definedName>
    <definedName name="PSWMergedSavingCell_0_495" hidden="1">#REF!</definedName>
    <definedName name="PSWMergedSavingCell_0_496" hidden="1">#REF!</definedName>
    <definedName name="PSWMergedSavingCell_0_497" hidden="1">#REF!</definedName>
    <definedName name="PSWMergedSavingCell_0_498" hidden="1">#REF!</definedName>
    <definedName name="PSWMergedSavingCell_0_499" hidden="1">#REF!</definedName>
    <definedName name="PSWMergedSavingCell_0_5" hidden="1">#REF!</definedName>
    <definedName name="PSWMergedSavingCell_0_50" hidden="1">#REF!</definedName>
    <definedName name="PSWMergedSavingCell_0_500" hidden="1">#REF!</definedName>
    <definedName name="PSWMergedSavingCell_0_501" hidden="1">#REF!</definedName>
    <definedName name="PSWMergedSavingCell_0_502" hidden="1">#REF!</definedName>
    <definedName name="PSWMergedSavingCell_0_503" hidden="1">#REF!</definedName>
    <definedName name="PSWMergedSavingCell_0_504" hidden="1">#REF!</definedName>
    <definedName name="PSWMergedSavingCell_0_505" hidden="1">#REF!</definedName>
    <definedName name="PSWMergedSavingCell_0_506" hidden="1">#REF!</definedName>
    <definedName name="PSWMergedSavingCell_0_507" hidden="1">#REF!</definedName>
    <definedName name="PSWMergedSavingCell_0_508" hidden="1">#REF!</definedName>
    <definedName name="PSWMergedSavingCell_0_509" hidden="1">#REF!</definedName>
    <definedName name="PSWMergedSavingCell_0_51" hidden="1">#REF!</definedName>
    <definedName name="PSWMergedSavingCell_0_510" hidden="1">#REF!</definedName>
    <definedName name="PSWMergedSavingCell_0_511" hidden="1">#REF!</definedName>
    <definedName name="PSWMergedSavingCell_0_512" hidden="1">#REF!</definedName>
    <definedName name="PSWMergedSavingCell_0_513" hidden="1">#REF!</definedName>
    <definedName name="PSWMergedSavingCell_0_514" hidden="1">#REF!</definedName>
    <definedName name="PSWMergedSavingCell_0_515" hidden="1">#REF!</definedName>
    <definedName name="PSWMergedSavingCell_0_516" hidden="1">#REF!</definedName>
    <definedName name="PSWMergedSavingCell_0_517" hidden="1">#REF!</definedName>
    <definedName name="PSWMergedSavingCell_0_518" hidden="1">#REF!</definedName>
    <definedName name="PSWMergedSavingCell_0_519" hidden="1">#REF!</definedName>
    <definedName name="PSWMergedSavingCell_0_52" hidden="1">#REF!</definedName>
    <definedName name="PSWMergedSavingCell_0_520" hidden="1">#REF!</definedName>
    <definedName name="PSWMergedSavingCell_0_521" hidden="1">#REF!</definedName>
    <definedName name="PSWMergedSavingCell_0_522" hidden="1">#REF!</definedName>
    <definedName name="PSWMergedSavingCell_0_523" hidden="1">#REF!</definedName>
    <definedName name="PSWMergedSavingCell_0_524" hidden="1">#REF!</definedName>
    <definedName name="PSWMergedSavingCell_0_525" hidden="1">#REF!</definedName>
    <definedName name="PSWMergedSavingCell_0_526" hidden="1">#REF!</definedName>
    <definedName name="PSWMergedSavingCell_0_527" hidden="1">#REF!</definedName>
    <definedName name="PSWMergedSavingCell_0_528" hidden="1">#REF!</definedName>
    <definedName name="PSWMergedSavingCell_0_529" hidden="1">#REF!</definedName>
    <definedName name="PSWMergedSavingCell_0_53" hidden="1">#REF!</definedName>
    <definedName name="PSWMergedSavingCell_0_530" hidden="1">#REF!</definedName>
    <definedName name="PSWMergedSavingCell_0_531" hidden="1">#REF!</definedName>
    <definedName name="PSWMergedSavingCell_0_532" hidden="1">#REF!</definedName>
    <definedName name="PSWMergedSavingCell_0_533" hidden="1">#REF!</definedName>
    <definedName name="PSWMergedSavingCell_0_534" hidden="1">#REF!</definedName>
    <definedName name="PSWMergedSavingCell_0_535" hidden="1">#REF!</definedName>
    <definedName name="PSWMergedSavingCell_0_536" hidden="1">#REF!</definedName>
    <definedName name="PSWMergedSavingCell_0_537" hidden="1">#REF!</definedName>
    <definedName name="PSWMergedSavingCell_0_538" hidden="1">#REF!</definedName>
    <definedName name="PSWMergedSavingCell_0_539" hidden="1">#REF!</definedName>
    <definedName name="PSWMergedSavingCell_0_54" hidden="1">#REF!</definedName>
    <definedName name="PSWMergedSavingCell_0_540" hidden="1">#REF!</definedName>
    <definedName name="PSWMergedSavingCell_0_541" hidden="1">#REF!</definedName>
    <definedName name="PSWMergedSavingCell_0_542" hidden="1">#REF!</definedName>
    <definedName name="PSWMergedSavingCell_0_543" hidden="1">#REF!</definedName>
    <definedName name="PSWMergedSavingCell_0_544" hidden="1">#REF!</definedName>
    <definedName name="PSWMergedSavingCell_0_545" hidden="1">#REF!</definedName>
    <definedName name="PSWMergedSavingCell_0_546" hidden="1">#REF!</definedName>
    <definedName name="PSWMergedSavingCell_0_547" hidden="1">#REF!</definedName>
    <definedName name="PSWMergedSavingCell_0_548" hidden="1">#REF!</definedName>
    <definedName name="PSWMergedSavingCell_0_549" hidden="1">#REF!</definedName>
    <definedName name="PSWMergedSavingCell_0_55" hidden="1">#REF!</definedName>
    <definedName name="PSWMergedSavingCell_0_550" hidden="1">#REF!</definedName>
    <definedName name="PSWMergedSavingCell_0_551" hidden="1">#REF!</definedName>
    <definedName name="PSWMergedSavingCell_0_552" hidden="1">#REF!</definedName>
    <definedName name="PSWMergedSavingCell_0_553" hidden="1">#REF!</definedName>
    <definedName name="PSWMergedSavingCell_0_554" hidden="1">#REF!</definedName>
    <definedName name="PSWMergedSavingCell_0_555" hidden="1">#REF!</definedName>
    <definedName name="PSWMergedSavingCell_0_556" hidden="1">#REF!</definedName>
    <definedName name="PSWMergedSavingCell_0_557" hidden="1">#REF!</definedName>
    <definedName name="PSWMergedSavingCell_0_558" hidden="1">#REF!</definedName>
    <definedName name="PSWMergedSavingCell_0_559" hidden="1">#REF!</definedName>
    <definedName name="PSWMergedSavingCell_0_56" hidden="1">#REF!</definedName>
    <definedName name="PSWMergedSavingCell_0_560" hidden="1">#REF!</definedName>
    <definedName name="PSWMergedSavingCell_0_561" hidden="1">#REF!</definedName>
    <definedName name="PSWMergedSavingCell_0_562" hidden="1">#REF!</definedName>
    <definedName name="PSWMergedSavingCell_0_563" hidden="1">#REF!</definedName>
    <definedName name="PSWMergedSavingCell_0_564" hidden="1">#REF!</definedName>
    <definedName name="PSWMergedSavingCell_0_565" hidden="1">#REF!</definedName>
    <definedName name="PSWMergedSavingCell_0_566" hidden="1">#REF!</definedName>
    <definedName name="PSWMergedSavingCell_0_567" hidden="1">#REF!</definedName>
    <definedName name="PSWMergedSavingCell_0_568" hidden="1">#REF!</definedName>
    <definedName name="PSWMergedSavingCell_0_569" hidden="1">#REF!</definedName>
    <definedName name="PSWMergedSavingCell_0_57" hidden="1">#REF!</definedName>
    <definedName name="PSWMergedSavingCell_0_570" hidden="1">#REF!</definedName>
    <definedName name="PSWMergedSavingCell_0_571" hidden="1">#REF!</definedName>
    <definedName name="PSWMergedSavingCell_0_572" hidden="1">#REF!</definedName>
    <definedName name="PSWMergedSavingCell_0_573" hidden="1">#REF!</definedName>
    <definedName name="PSWMergedSavingCell_0_574" hidden="1">#REF!</definedName>
    <definedName name="PSWMergedSavingCell_0_575" hidden="1">#REF!</definedName>
    <definedName name="PSWMergedSavingCell_0_576" hidden="1">#REF!</definedName>
    <definedName name="PSWMergedSavingCell_0_577" hidden="1">#REF!</definedName>
    <definedName name="PSWMergedSavingCell_0_578" hidden="1">#REF!</definedName>
    <definedName name="PSWMergedSavingCell_0_579" hidden="1">#REF!</definedName>
    <definedName name="PSWMergedSavingCell_0_58" hidden="1">#REF!</definedName>
    <definedName name="PSWMergedSavingCell_0_580" hidden="1">#REF!</definedName>
    <definedName name="PSWMergedSavingCell_0_581" hidden="1">#REF!</definedName>
    <definedName name="PSWMergedSavingCell_0_582" hidden="1">#REF!</definedName>
    <definedName name="PSWMergedSavingCell_0_583" hidden="1">#REF!</definedName>
    <definedName name="PSWMergedSavingCell_0_584" hidden="1">#REF!</definedName>
    <definedName name="PSWMergedSavingCell_0_59" hidden="1">#REF!</definedName>
    <definedName name="PSWMergedSavingCell_0_6" hidden="1">#REF!</definedName>
    <definedName name="PSWMergedSavingCell_0_60" hidden="1">#REF!</definedName>
    <definedName name="PSWMergedSavingCell_0_61" hidden="1">#REF!</definedName>
    <definedName name="PSWMergedSavingCell_0_62" hidden="1">#REF!</definedName>
    <definedName name="PSWMergedSavingCell_0_63" hidden="1">#REF!</definedName>
    <definedName name="PSWMergedSavingCell_0_64" hidden="1">#REF!</definedName>
    <definedName name="PSWMergedSavingCell_0_65" hidden="1">#REF!</definedName>
    <definedName name="PSWMergedSavingCell_0_66" hidden="1">#REF!</definedName>
    <definedName name="PSWMergedSavingCell_0_67" hidden="1">#REF!</definedName>
    <definedName name="PSWMergedSavingCell_0_68" hidden="1">#REF!</definedName>
    <definedName name="PSWMergedSavingCell_0_69" hidden="1">#REF!</definedName>
    <definedName name="PSWMergedSavingCell_0_7" hidden="1">#REF!</definedName>
    <definedName name="PSWMergedSavingCell_0_70" hidden="1">#REF!</definedName>
    <definedName name="PSWMergedSavingCell_0_71" hidden="1">#REF!</definedName>
    <definedName name="PSWMergedSavingCell_0_72" hidden="1">#REF!</definedName>
    <definedName name="PSWMergedSavingCell_0_73" hidden="1">#REF!</definedName>
    <definedName name="PSWMergedSavingCell_0_74" hidden="1">#REF!</definedName>
    <definedName name="PSWMergedSavingCell_0_75" hidden="1">#REF!</definedName>
    <definedName name="PSWMergedSavingCell_0_76" hidden="1">#REF!</definedName>
    <definedName name="PSWMergedSavingCell_0_77" hidden="1">#REF!</definedName>
    <definedName name="PSWMergedSavingCell_0_78" hidden="1">#REF!</definedName>
    <definedName name="PSWMergedSavingCell_0_79" hidden="1">#REF!</definedName>
    <definedName name="PSWMergedSavingCell_0_8" hidden="1">#REF!</definedName>
    <definedName name="PSWMergedSavingCell_0_80" hidden="1">#REF!</definedName>
    <definedName name="PSWMergedSavingCell_0_81" hidden="1">#REF!</definedName>
    <definedName name="PSWMergedSavingCell_0_82" hidden="1">#REF!</definedName>
    <definedName name="PSWMergedSavingCell_0_83" hidden="1">#REF!</definedName>
    <definedName name="PSWMergedSavingCell_0_84" hidden="1">#REF!</definedName>
    <definedName name="PSWMergedSavingCell_0_85" hidden="1">#REF!</definedName>
    <definedName name="PSWMergedSavingCell_0_86" hidden="1">#REF!</definedName>
    <definedName name="PSWMergedSavingCell_0_87" hidden="1">#REF!</definedName>
    <definedName name="PSWMergedSavingCell_0_88" hidden="1">#REF!</definedName>
    <definedName name="PSWMergedSavingCell_0_89" hidden="1">#REF!</definedName>
    <definedName name="PSWMergedSavingCell_0_9" hidden="1">#REF!</definedName>
    <definedName name="PSWMergedSavingCell_0_90" hidden="1">#REF!</definedName>
    <definedName name="PSWMergedSavingCell_0_91" hidden="1">#REF!</definedName>
    <definedName name="PSWMergedSavingCell_0_92" hidden="1">#REF!</definedName>
    <definedName name="PSWMergedSavingCell_0_93" hidden="1">#REF!</definedName>
    <definedName name="PSWMergedSavingCell_0_94" hidden="1">#REF!</definedName>
    <definedName name="PSWMergedSavingCell_0_95" hidden="1">#REF!</definedName>
    <definedName name="PSWMergedSavingCell_0_96" hidden="1">#REF!</definedName>
    <definedName name="PSWMergedSavingCell_0_97" hidden="1">#REF!</definedName>
    <definedName name="PSWMergedSavingCell_0_98" hidden="1">#REF!</definedName>
    <definedName name="PSWMergedSavingCell_0_99" hidden="1">#REF!</definedName>
    <definedName name="PSWMergedSavingCells_0" hidden="1">#REF!</definedName>
    <definedName name="PSWOutput_0" hidden="1">#REF!</definedName>
    <definedName name="PSWSavingCell_0" hidden="1">#REF!</definedName>
    <definedName name="PSWSeries_0_0_Labels" hidden="1">#REF!</definedName>
    <definedName name="PSWSeries_0_0_Values" hidden="1">#REF!</definedName>
    <definedName name="PSWSeries_0_1_Labels" hidden="1">#REF!</definedName>
    <definedName name="PSWSeries_0_1_Values" hidden="1">#REF!</definedName>
    <definedName name="PSWSeries_1_0_Labels" hidden="1">#REF!</definedName>
    <definedName name="PSWSeries_1_0_Values" hidden="1">#REF!</definedName>
    <definedName name="PSWSeries_1_1_Labels" hidden="1">#REF!</definedName>
    <definedName name="PSWSeries_1_1_Values" hidden="1">#REF!</definedName>
    <definedName name="PSWSeries_1_2_Labels" hidden="1">#REF!</definedName>
    <definedName name="PSWSeries_1_2_Values" hidden="1">#REF!</definedName>
    <definedName name="PSWSeries_1_3_Labels" hidden="1">#REF!</definedName>
    <definedName name="PSWSeries_1_3_Values" hidden="1">#REF!</definedName>
    <definedName name="PT5N">[3]Equipment!$L$153</definedName>
    <definedName name="PT5OER">[3]Equipment!$J$153</definedName>
    <definedName name="PT5OR">[3]Equipment!$E$153</definedName>
    <definedName name="PT5RR">[3]Equipment!$D$153</definedName>
    <definedName name="Q">[5]Cover!$B$3</definedName>
    <definedName name="Q_DET">#REF!</definedName>
    <definedName name="QD6N">[3]Equipment!$L$74</definedName>
    <definedName name="QD6OER">[3]Equipment!$J$74</definedName>
    <definedName name="QD6OOR">[3]Equipment!$K$74</definedName>
    <definedName name="QD6OR">[3]Equipment!$E$74</definedName>
    <definedName name="QD6ORR">[3]Equipment!$I$74</definedName>
    <definedName name="QD6RR">[3]Equipment!$D$74</definedName>
    <definedName name="QI">[3]Labour!$H$6</definedName>
    <definedName name="R_DET">#REF!</definedName>
    <definedName name="RBN">[3]Equipment!$L$150</definedName>
    <definedName name="RBOER">[3]Equipment!$J$151</definedName>
    <definedName name="RBOOR">[3]Equipment!$K$150</definedName>
    <definedName name="RBOR">[3]Equipment!$E$150</definedName>
    <definedName name="RBORR">[3]Equipment!$I$150</definedName>
    <definedName name="RBRR">[3]Equipment!$D$150</definedName>
    <definedName name="REH">[3]MI!$P$68</definedName>
    <definedName name="REQ">[3]MI!$G$68</definedName>
    <definedName name="RER">[3]MI!$M$68</definedName>
    <definedName name="RFB">#REF!</definedName>
    <definedName name="RiskAutoStopPercChange">1.5</definedName>
    <definedName name="RiskCollectDistributionSamples">2</definedName>
    <definedName name="RiskExcelReportsGoInNewWorkbook">TRUE</definedName>
    <definedName name="RiskExcelReportsToGenerate">32</definedName>
    <definedName name="RiskFixedSeed">100</definedName>
    <definedName name="RiskGenerateExcelReportsAtEndOfSimulation">FALSE</definedName>
    <definedName name="RiskHasSettings">TRUE</definedName>
    <definedName name="RiskMinimizeOnStart">FALSE</definedName>
    <definedName name="RiskMonitorConvergence">FALSE</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amplingType">3</definedName>
    <definedName name="RiskShowRiskWindowAtEndOfSimulation">TRUE</definedName>
    <definedName name="RiskStandardRecalc">2</definedName>
    <definedName name="RiskTemplateSheetName">"myTemplate"</definedName>
    <definedName name="RiskUpdateDisplay">FALSE</definedName>
    <definedName name="RiskUseDifferentSeedForEachSim">FALSE</definedName>
    <definedName name="RiskUseFixedSeed">TRUE</definedName>
    <definedName name="RiskUseMultipleCPUs">FALSE</definedName>
    <definedName name="RMN">[3]Equipment!$L$151</definedName>
    <definedName name="RMOER">[3]Equipment!$J$151</definedName>
    <definedName name="RMOOR">[3]Equipment!$K$151</definedName>
    <definedName name="RMOR">[3]Equipment!$E$151</definedName>
    <definedName name="RMORR">[3]Equipment!$I$151</definedName>
    <definedName name="RMRR">[3]Equipment!$D$151</definedName>
    <definedName name="RWE" hidden="1">#REF!</definedName>
    <definedName name="S">[5]Cover!$F$3</definedName>
    <definedName name="S_DET">#REF!</definedName>
    <definedName name="S100AH">[3]Labour!$D$12</definedName>
    <definedName name="S100B">[3]Labour!$L$12</definedName>
    <definedName name="S100BR">[3]Labour!$C$12</definedName>
    <definedName name="S100S">[3]Labour!$J$12</definedName>
    <definedName name="S100T">[3]Labour!$K$12</definedName>
    <definedName name="S110AH">[3]Labour!$D$13</definedName>
    <definedName name="S110B">[3]Labour!$L$13</definedName>
    <definedName name="S110BR">[3]Labour!$C$13</definedName>
    <definedName name="S110S">[3]Labour!$J$13</definedName>
    <definedName name="S110T">[3]Labour!$K$13</definedName>
    <definedName name="S120AH">[3]Labour!$D$14</definedName>
    <definedName name="S120B">[3]Labour!$L$14</definedName>
    <definedName name="S120BR">[3]Labour!$C$14</definedName>
    <definedName name="S120S">[3]Labour!$J$14</definedName>
    <definedName name="S120T">[3]Labour!$K$14</definedName>
    <definedName name="S130AH">[3]Labour!$D$15</definedName>
    <definedName name="S130B">[3]Labour!$L$15</definedName>
    <definedName name="S130BR">[3]Labour!$C$15</definedName>
    <definedName name="S130S">[3]Labour!$J$15</definedName>
    <definedName name="S130T">[3]Labour!$K$15</definedName>
    <definedName name="S140AH">[3]Labour!$D$16</definedName>
    <definedName name="S140B">[3]Labour!$L$16</definedName>
    <definedName name="S140BR">[3]Labour!$C$16</definedName>
    <definedName name="S140S">[3]Labour!$J$16</definedName>
    <definedName name="S140T">[3]Labour!$K$16</definedName>
    <definedName name="S150AH">[3]Labour!$D$17</definedName>
    <definedName name="S150B">[3]Labour!$L$17</definedName>
    <definedName name="S150BR">[3]Labour!$C$17</definedName>
    <definedName name="S150S">[3]Labour!$J$17</definedName>
    <definedName name="S150T">[3]Labour!$K$17</definedName>
    <definedName name="S160AH">[3]Labour!$D$18</definedName>
    <definedName name="S160B">[3]Labour!$L$18</definedName>
    <definedName name="S160BR">[3]Labour!$C$18</definedName>
    <definedName name="S160S">[3]Labour!$J$18</definedName>
    <definedName name="S160T">[3]Labour!$K$18</definedName>
    <definedName name="S170AH">[3]Labour!$D$19</definedName>
    <definedName name="S170B">[3]Labour!$L$19</definedName>
    <definedName name="S170BR">[3]Labour!$C$19</definedName>
    <definedName name="S170S">[3]Labour!$J$19</definedName>
    <definedName name="S170T">[3]Labour!$K$19</definedName>
    <definedName name="S180AH">[3]Labour!$D$20</definedName>
    <definedName name="S180B">[3]Labour!$L$20</definedName>
    <definedName name="S180BR">[3]Labour!$C$20</definedName>
    <definedName name="S180S">[3]Labour!$J$20</definedName>
    <definedName name="S180T">[3]Labour!$K$20</definedName>
    <definedName name="S200AH">[3]Labour!$D$21</definedName>
    <definedName name="S200B">[3]Labour!$L$21</definedName>
    <definedName name="S200BR">[3]Labour!$C$21</definedName>
    <definedName name="S200S">[3]Labour!$J$21</definedName>
    <definedName name="S200T">[3]Labour!$K$21</definedName>
    <definedName name="S210AH">[3]Labour!$D$22</definedName>
    <definedName name="S210B">[3]Labour!$L$22</definedName>
    <definedName name="S210BR">[3]Labour!$C$22</definedName>
    <definedName name="S210S">[3]Labour!$J$22</definedName>
    <definedName name="S210T">[3]Labour!$K$22</definedName>
    <definedName name="S220AH">[3]Labour!$D$23</definedName>
    <definedName name="S220B">[3]Labour!$L$23</definedName>
    <definedName name="S220BR">[3]Labour!$C$23</definedName>
    <definedName name="S220S">[3]Labour!$J$23</definedName>
    <definedName name="S220T">[3]Labour!$K$23</definedName>
    <definedName name="S230AH">[3]Labour!$D$24</definedName>
    <definedName name="S230B">[3]Labour!$L$24</definedName>
    <definedName name="S230BR">[3]Labour!$C$24</definedName>
    <definedName name="S230S">[3]Labour!$J$24</definedName>
    <definedName name="S230T">[3]Labour!$K$24</definedName>
    <definedName name="S240AH">[3]Labour!$D$25</definedName>
    <definedName name="S240B">[3]Labour!$L$25</definedName>
    <definedName name="S240BR">[3]Labour!$C$25</definedName>
    <definedName name="S240S">[3]Labour!$J$25</definedName>
    <definedName name="S240T">[3]Labour!$K$25</definedName>
    <definedName name="S250AH">[3]Labour!$D$26</definedName>
    <definedName name="S250B">[3]Labour!$L$26</definedName>
    <definedName name="S250BR">[3]Labour!$C$26</definedName>
    <definedName name="S250S">[3]Labour!$J$26</definedName>
    <definedName name="S250T">[3]Labour!$K$26</definedName>
    <definedName name="S260AH">[3]Labour!$D$27</definedName>
    <definedName name="S260B">[3]Labour!$L$27</definedName>
    <definedName name="S260BR">[3]Labour!$C$27</definedName>
    <definedName name="S260S">[3]Labour!$J$27</definedName>
    <definedName name="S260T">[3]Labour!$K$27</definedName>
    <definedName name="S270AH">[3]Labour!$D$28</definedName>
    <definedName name="S270B">[3]Labour!$L$28</definedName>
    <definedName name="S270BR">[3]Labour!$C$28</definedName>
    <definedName name="S270S">[3]Labour!$J$28</definedName>
    <definedName name="S270T">[3]Labour!$K$28</definedName>
    <definedName name="S280AH">[3]Labour!$D$29</definedName>
    <definedName name="S280B">[3]Labour!$L$29</definedName>
    <definedName name="S280BR">[3]Labour!$C$29</definedName>
    <definedName name="S280S">[3]Labour!$J$29</definedName>
    <definedName name="S280T">[3]Labour!$K$29</definedName>
    <definedName name="S290AH">[3]Labour!$D$30</definedName>
    <definedName name="S290BR">[3]Labour!$C$30</definedName>
    <definedName name="S290HW">[3]Labour!$E$30</definedName>
    <definedName name="S290PF">[3]Labour!$F$30</definedName>
    <definedName name="S290S">[3]Labour!$J$30</definedName>
    <definedName name="S290T">[3]Labour!$K$30</definedName>
    <definedName name="S290TF">[3]Labour!$I$30</definedName>
    <definedName name="S571N">[3]Equipment!$L$58</definedName>
    <definedName name="S571OER">[3]Equipment!$J$58</definedName>
    <definedName name="S571OOR">[3]Equipment!$K$58</definedName>
    <definedName name="S571OR">[3]Equipment!$E$58</definedName>
    <definedName name="S571ORR">[3]Equipment!$I$58</definedName>
    <definedName name="S571RR">[3]Equipment!$D$58</definedName>
    <definedName name="S572N">[3]Equipment!$L$57</definedName>
    <definedName name="S572OER">[3]Equipment!$J$57</definedName>
    <definedName name="S572OOR">[3]Equipment!$K$57</definedName>
    <definedName name="S572OR">[3]Equipment!$E$57</definedName>
    <definedName name="S572ORR">[3]Equipment!$I$57</definedName>
    <definedName name="S572RR">[3]Equipment!$D$57</definedName>
    <definedName name="S578N">[3]Equipment!$L$54</definedName>
    <definedName name="S578OER">[3]Equipment!$J$54</definedName>
    <definedName name="S578OOR">[3]Equipment!$K$54</definedName>
    <definedName name="S578OR">[3]Equipment!$E$54</definedName>
    <definedName name="S578ORR">[3]Equipment!$I$54</definedName>
    <definedName name="S578RR">[3]Equipment!$D$54</definedName>
    <definedName name="S583N">[3]Equipment!$L$56</definedName>
    <definedName name="S583OER">[3]Equipment!$J$56</definedName>
    <definedName name="S583OOR">[3]Equipment!$K$56</definedName>
    <definedName name="S583OR">[3]Equipment!$E$56</definedName>
    <definedName name="S583ORR">[3]Equipment!$I$56</definedName>
    <definedName name="S583RR">[3]Equipment!$D$56</definedName>
    <definedName name="S589N">[3]Equipment!$L$53</definedName>
    <definedName name="S589OER">[3]Equipment!$J$53</definedName>
    <definedName name="S589OOR">[3]Equipment!$K$53</definedName>
    <definedName name="S589OR">[3]Equipment!$E$53</definedName>
    <definedName name="S589ORR">[3]Equipment!$I$53</definedName>
    <definedName name="S589RR">[3]Equipment!$D$53</definedName>
    <definedName name="S594N">[3]Equipment!$L$55</definedName>
    <definedName name="S594OER">[3]Equipment!$J$55</definedName>
    <definedName name="S594OOR">[3]Equipment!$K$55</definedName>
    <definedName name="S594OR">[3]Equipment!$E$55</definedName>
    <definedName name="S594ORR">[3]Equipment!$I$55</definedName>
    <definedName name="S594RR">[3]Equipment!$D$55</definedName>
    <definedName name="SANDN">[3]Equipment!$L$123</definedName>
    <definedName name="SANDOER">[3]Equipment!$J$123</definedName>
    <definedName name="SANDOOR">[3]Equipment!$K$123</definedName>
    <definedName name="SANDOR">[3]Equipment!$E$123</definedName>
    <definedName name="SANDORR">[3]Equipment!$I$123</definedName>
    <definedName name="SANDRR">[3]Equipment!$D$123</definedName>
    <definedName name="SAWN">[3]Equipment!$L$112</definedName>
    <definedName name="SAWOER">[3]Equipment!$J$112</definedName>
    <definedName name="SAWOOR">[3]Equipment!$K$112</definedName>
    <definedName name="SAWOR">[3]Equipment!$E$112</definedName>
    <definedName name="SAWORR">[3]Equipment!$I$112</definedName>
    <definedName name="SAWRR">[3]Equipment!$D$112</definedName>
    <definedName name="sdsa" hidden="1">{#N/A,#N/A,TRUE,"Commercial Fab Cover";#N/A,#N/A,TRUE,"Commercial Summary";#N/A,#N/A,TRUE,"Technical Summary"}</definedName>
    <definedName name="SHW">[3]LRD!#REF!</definedName>
    <definedName name="SKIDSER">[3]Equipment!$J$110</definedName>
    <definedName name="SKIDSN">[3]Equipment!$L$110</definedName>
    <definedName name="SKIDSOOR">[3]Equipment!$K$110</definedName>
    <definedName name="SKIDSOR">[3]Equipment!$E$110</definedName>
    <definedName name="SKIDSORR">[3]Equipment!$I$110</definedName>
    <definedName name="SKIDSRR">[3]Equipment!$D$110</definedName>
    <definedName name="SLDWN">[3]Equipment!$L$113</definedName>
    <definedName name="SLDWOR">[3]Equipment!$E$113</definedName>
    <definedName name="SLDWRR">[3]Equipment!$D$113</definedName>
    <definedName name="SM">[5]Cover!$B$6</definedName>
    <definedName name="SNID">[3]Equipment!$H$4</definedName>
    <definedName name="SOMH">[3]Labour!$C$6</definedName>
    <definedName name="SORT_AREA">#REF!</definedName>
    <definedName name="SOT">[3]Labour!$C$5</definedName>
    <definedName name="SPCOUNT">'[4]Front Sheet'!$Y$3</definedName>
    <definedName name="SpreadsheetWEBApplicationId" hidden="1">[12]PSW_Sheet!$A$15</definedName>
    <definedName name="SpreadsheetWEBDataID" hidden="1">[12]PSW_Sheet!$A$16</definedName>
    <definedName name="SpreadsheetWEBInternalConnection" hidden="1">[12]PSW_Sheet!$A$12</definedName>
    <definedName name="SpreadsheetWEBUserName" hidden="1">[12]PSW_Sheet!$A$13</definedName>
    <definedName name="SpreadsheetWEBUserRole" hidden="1">[12]PSW_Sheet!$A$14</definedName>
    <definedName name="ST">[3]MI!$M$35</definedName>
    <definedName name="STBH">[3]Labour!$C$2</definedName>
    <definedName name="STHD">[3]Labour!$C$3</definedName>
    <definedName name="SUB">[3]Labour!$H$7</definedName>
    <definedName name="SUMMARY">#REF!</definedName>
    <definedName name="Suppliers">#REF!</definedName>
    <definedName name="SW">[3]MI!$F$2</definedName>
    <definedName name="SWLDN">[3]Equipment!$L$59</definedName>
    <definedName name="SWLDOER">[3]Equipment!$J$59</definedName>
    <definedName name="SWLDOOR">[3]Equipment!$K$59</definedName>
    <definedName name="SWLDOR">[3]Equipment!$E$59</definedName>
    <definedName name="SWLDORR">[3]Equipment!$I$59</definedName>
    <definedName name="SWLDRR">[3]Equipment!$D$59</definedName>
    <definedName name="T100AJ">[3]Labour!$D$66</definedName>
    <definedName name="T100B">[3]Labour!$L$66</definedName>
    <definedName name="T100BR">[3]Labour!$C$66</definedName>
    <definedName name="T100S">[3]Labour!$J$66</definedName>
    <definedName name="T100T">[3]Labour!$K$66</definedName>
    <definedName name="T110AH">[3]Labour!$D$67</definedName>
    <definedName name="T110B">[3]Labour!$L$67</definedName>
    <definedName name="T110BR">[3]Labour!$C$67</definedName>
    <definedName name="T110S">[3]Labour!$J$67</definedName>
    <definedName name="T110T">[3]Labour!$K$67</definedName>
    <definedName name="T120AH">[3]Labour!$D$68</definedName>
    <definedName name="T120B">[3]Labour!$L$68</definedName>
    <definedName name="T120BR">[3]Labour!$C$68</definedName>
    <definedName name="T120S">[3]Labour!$J$68</definedName>
    <definedName name="T120T">[3]Labour!$K$68</definedName>
    <definedName name="T130AH">[3]Labour!$D$69</definedName>
    <definedName name="T130B">[3]Labour!$L$69</definedName>
    <definedName name="T130BR">[3]Labour!$C$69</definedName>
    <definedName name="T130S">[3]Labour!$J$69</definedName>
    <definedName name="T130T">[3]Labour!$K$69</definedName>
    <definedName name="T140AH">[3]Labour!$D$70</definedName>
    <definedName name="T140B">[3]Labour!$L$70</definedName>
    <definedName name="T140BR">[3]Labour!$C$70</definedName>
    <definedName name="T140S">[3]Labour!$J$70</definedName>
    <definedName name="T140T">[3]Labour!$K$70</definedName>
    <definedName name="T150AH">[3]Labour!$D$71</definedName>
    <definedName name="T150B">[3]Labour!$L$71</definedName>
    <definedName name="T150BR">[3]Labour!$C$71</definedName>
    <definedName name="T150S">[3]Labour!$J$71</definedName>
    <definedName name="T150T">[3]Labour!$K$71</definedName>
    <definedName name="T160AH">[3]Labour!$D$72</definedName>
    <definedName name="T160B">[3]Labour!$L$72</definedName>
    <definedName name="T160BR">[3]Labour!$C$72</definedName>
    <definedName name="T160S">[3]Labour!$J$72</definedName>
    <definedName name="T160T">[3]Labour!$K$72</definedName>
    <definedName name="T170AH">[3]Labour!$D$73</definedName>
    <definedName name="T170B">[3]Labour!$L$73</definedName>
    <definedName name="T170BR">[3]Labour!$C$73</definedName>
    <definedName name="T170S">[3]Labour!$J$73</definedName>
    <definedName name="T170T">[3]Labour!$K$73</definedName>
    <definedName name="T200AH">[3]Labour!$D$74</definedName>
    <definedName name="T200B">[3]Labour!$L$74</definedName>
    <definedName name="T200BR">[3]Labour!$C$74</definedName>
    <definedName name="T200S">[3]Labour!$J$74</definedName>
    <definedName name="T200T">[3]Labour!$K$74</definedName>
    <definedName name="T210AH">[3]Labour!$D$75</definedName>
    <definedName name="T210B">[3]Labour!$L$75</definedName>
    <definedName name="T210BR">[3]Labour!$C$75</definedName>
    <definedName name="T210S">[3]Labour!$J$75</definedName>
    <definedName name="T210T">[3]Labour!$K$75</definedName>
    <definedName name="T220AH">[3]Labour!$D$76</definedName>
    <definedName name="T220B">[3]Labour!$L$76</definedName>
    <definedName name="T220BR">[3]Labour!$C$76</definedName>
    <definedName name="T220S">[3]Labour!$J$76</definedName>
    <definedName name="T220T">[3]Labour!$K$76</definedName>
    <definedName name="T230AH">[3]Labour!$D$77</definedName>
    <definedName name="T230B">[3]Labour!$L$77</definedName>
    <definedName name="T230BR">[3]Labour!$C$77</definedName>
    <definedName name="T230S">[3]Labour!$J$77</definedName>
    <definedName name="T230T">[3]Labour!$K$77</definedName>
    <definedName name="T240AH">[3]Labour!$D$78</definedName>
    <definedName name="T240B">[3]Labour!$L$78</definedName>
    <definedName name="T240BR">[3]Labour!$C$78</definedName>
    <definedName name="T240S">[3]Labour!$J$78</definedName>
    <definedName name="T240T">[3]Labour!$K$78</definedName>
    <definedName name="T250AH">[3]Labour!$D$79</definedName>
    <definedName name="T250B">[3]Labour!$L$79</definedName>
    <definedName name="T250BR">[3]Labour!$C$79</definedName>
    <definedName name="T250S">[3]Labour!$J$79</definedName>
    <definedName name="T250T">[3]Labour!$K$79</definedName>
    <definedName name="T260AH">[3]Labour!$D$80</definedName>
    <definedName name="T260B">[3]Labour!$L$80</definedName>
    <definedName name="T260BR">[3]Labour!$C$80</definedName>
    <definedName name="T260S">[3]Labour!$J$80</definedName>
    <definedName name="T260T">[3]Labour!$K$80</definedName>
    <definedName name="T270AH">[3]Labour!$D$81</definedName>
    <definedName name="T270B">[3]Labour!$L$81</definedName>
    <definedName name="T270BR">[3]Labour!$C$81</definedName>
    <definedName name="T270S">[3]Labour!$J$81</definedName>
    <definedName name="T270T">[3]Labour!$K$81</definedName>
    <definedName name="T280AH">[3]Labour!$D$82</definedName>
    <definedName name="T280B">[3]Labour!$L$82</definedName>
    <definedName name="T280BR">[3]Labour!$C$82</definedName>
    <definedName name="T280S">[3]Labour!$J$82</definedName>
    <definedName name="T280T">[3]Labour!$K$82</definedName>
    <definedName name="T300AH">[3]Labour!$D$83</definedName>
    <definedName name="T300B">[3]Labour!$L$83</definedName>
    <definedName name="T300BR">[3]Labour!$C$83</definedName>
    <definedName name="T300S">[3]Labour!$J$83</definedName>
    <definedName name="T300T">[3]Labour!$K$83</definedName>
    <definedName name="T310AH">[3]Labour!$D$84</definedName>
    <definedName name="T310B">[3]Labour!$L$84</definedName>
    <definedName name="T310BR">[3]Labour!$C$84</definedName>
    <definedName name="T310S">[3]Labour!$J$84</definedName>
    <definedName name="T310T">[3]Labour!$K$84</definedName>
    <definedName name="T320AH">[3]Labour!$D$85</definedName>
    <definedName name="T320B">[3]Labour!$L$85</definedName>
    <definedName name="T320BR">[3]Labour!$C$85</definedName>
    <definedName name="T320S">[3]Labour!$J$85</definedName>
    <definedName name="T320T">[3]Labour!$K$85</definedName>
    <definedName name="T710N">[3]Equipment!$L$81</definedName>
    <definedName name="T710OER">[3]Equipment!$J$81</definedName>
    <definedName name="T710OOR">[3]Equipment!$K$81</definedName>
    <definedName name="T710OR">[3]Equipment!$E$81</definedName>
    <definedName name="T710ORR">[3]Equipment!$I$81</definedName>
    <definedName name="T710RR">[3]Equipment!$D$81</definedName>
    <definedName name="Technician__Mechweld">[3]Labour!$C$119</definedName>
    <definedName name="TEH">[3]MI!$P$69</definedName>
    <definedName name="TEQ">[3]MI!$G$69</definedName>
    <definedName name="TER">[3]MI!$M$69</definedName>
    <definedName name="TH">[3]MI!$K$35</definedName>
    <definedName name="TH08N">[3]Equipment!$L$42</definedName>
    <definedName name="TH08OER">[3]Equipment!$J$42</definedName>
    <definedName name="TH08OOR">[3]Equipment!$K$42</definedName>
    <definedName name="TH08OR">[3]Equipment!$E$42</definedName>
    <definedName name="TH08ORR">[3]Equipment!$I$42</definedName>
    <definedName name="TH08RR">[3]Equipment!$D$42</definedName>
    <definedName name="THD">#REF!</definedName>
    <definedName name="THW">[3]Labour!$E$65</definedName>
    <definedName name="TJ08N">[3]Equipment!$L$39</definedName>
    <definedName name="TJ08OER">[3]Equipment!$J$39</definedName>
    <definedName name="TJ08OOR">[3]Equipment!$K$39</definedName>
    <definedName name="TJ08OR">[3]Equipment!$E$39</definedName>
    <definedName name="TJ08ORR">[3]Equipment!$I$39</definedName>
    <definedName name="TJ08RR">[3]Equipment!$D$39</definedName>
    <definedName name="TJ16N">[3]Equipment!$L$38</definedName>
    <definedName name="TJ16OER">[3]Equipment!$J$38</definedName>
    <definedName name="TJ16OOR">[3]Equipment!$K$38</definedName>
    <definedName name="TJ16OR">[3]Equipment!$E$38</definedName>
    <definedName name="TJ16ORR">[3]Equipment!$I$38</definedName>
    <definedName name="TJ16RR">[3]Equipment!$D$38</definedName>
    <definedName name="TL08N">[3]Equipment!$L$35</definedName>
    <definedName name="TL08OER">[3]Equipment!$J$35</definedName>
    <definedName name="TL08OOR">[3]Equipment!$K$35</definedName>
    <definedName name="TL08OR">[3]Equipment!$E$35</definedName>
    <definedName name="TL08ORR">[3]Equipment!$I$35</definedName>
    <definedName name="TL08RR">[3]Equipment!$D$35</definedName>
    <definedName name="TL12N">[3]Equipment!$L$36</definedName>
    <definedName name="TL12OER">[3]Equipment!$J$36</definedName>
    <definedName name="TL12OOR">[3]Equipment!$K$36</definedName>
    <definedName name="TL12OR">[3]Equipment!$E$36</definedName>
    <definedName name="TL12ORR">[3]Equipment!$I$36</definedName>
    <definedName name="TL12RR">[3]Equipment!$D$36</definedName>
    <definedName name="TL16N">[3]Equipment!$L$37</definedName>
    <definedName name="TL16OER">[3]Equipment!$J$37</definedName>
    <definedName name="TL16OOR">[3]Equipment!$K$37</definedName>
    <definedName name="TL16OR">[3]Equipment!$E$37</definedName>
    <definedName name="TL16ORR">[3]Equipment!$I$37</definedName>
    <definedName name="TL16RR">[3]Equipment!$D$37</definedName>
    <definedName name="TM30N">[3]Equipment!$L$171</definedName>
    <definedName name="TM30OER">[3]Equipment!$J$171</definedName>
    <definedName name="TM30OOR">[3]Equipment!$K$171</definedName>
    <definedName name="TM30ORR">[3]Equipment!$I$171</definedName>
    <definedName name="TM48ER">[3]Equipment!$J$114</definedName>
    <definedName name="TM48N">[3]Equipment!$L$114</definedName>
    <definedName name="TM48OOR">[3]Equipment!$K$114</definedName>
    <definedName name="TM48ORR">[3]Equipment!$I$114</definedName>
    <definedName name="TMWN">[3]Equipment!$L$45</definedName>
    <definedName name="TMWOER">[3]Equipment!$J$45</definedName>
    <definedName name="TMWOOR">[3]Equipment!$K$45</definedName>
    <definedName name="TMWOR">[3]Equipment!$E$45</definedName>
    <definedName name="TMWORR">[3]Equipment!$I$45</definedName>
    <definedName name="TMWRR">[3]Equipment!$D$45</definedName>
    <definedName name="TNK4N">[3]Equipment!$L$195</definedName>
    <definedName name="TNK4OER">[3]Equipment!$J$195</definedName>
    <definedName name="TNK4OOR">[3]Equipment!$K$195</definedName>
    <definedName name="TNK4OR">[3]Equipment!$E$195</definedName>
    <definedName name="TNK4ORR">[3]Equipment!$I$195</definedName>
    <definedName name="TNK4RR">[3]Equipment!$D$195</definedName>
    <definedName name="TOF">[3]Labour!$H$65</definedName>
    <definedName name="TOOLN">[3]Equipment!$L$51</definedName>
    <definedName name="TOOLOER">[3]Equipment!$J$51</definedName>
    <definedName name="TOOLOR">[3]Equipment!$E$51</definedName>
    <definedName name="TOOLRR">[3]Equipment!$D$51</definedName>
    <definedName name="TOSN">[3]Equipment!$L$44</definedName>
    <definedName name="TOSOER">[3]Equipment!$J$44</definedName>
    <definedName name="TOSOOR">[3]Equipment!$K$44</definedName>
    <definedName name="TOSOR">[3]Equipment!$E$44</definedName>
    <definedName name="TOSORR">[3]Equipment!$I$44</definedName>
    <definedName name="TOSRR">[3]Equipment!$D$44</definedName>
    <definedName name="TP08N">[3]Equipment!$L$40</definedName>
    <definedName name="TP08OER">[3]Equipment!$J$40</definedName>
    <definedName name="TP12N">[3]Equipment!$L$41</definedName>
    <definedName name="TP12OER">[3]Equipment!$J$41</definedName>
    <definedName name="TP12OOR">[3]Equipment!$K$41</definedName>
    <definedName name="TP12OR">[3]Equipment!$E$41</definedName>
    <definedName name="TP12ORR">[3]Equipment!$I$41</definedName>
    <definedName name="TP12RR">[3]Equipment!$D$41</definedName>
    <definedName name="TPF">[3]Labour!$F$65</definedName>
    <definedName name="TR">[3]Labour!$L$7</definedName>
    <definedName name="TRBXN">[3]Equipment!$L$159</definedName>
    <definedName name="TRBXOER">[3]Equipment!$J$159</definedName>
    <definedName name="TRBXOOR">[3]Equipment!$K$159</definedName>
    <definedName name="TRBXOR">[3]Equipment!$E$159</definedName>
    <definedName name="TRBXORR">[3]Equipment!$I$159</definedName>
    <definedName name="TRBXRR">[3]Equipment!$D$159</definedName>
    <definedName name="TRC4N">[3]Equipment!$L$14</definedName>
    <definedName name="TRC4OER">[3]Equipment!$J$14</definedName>
    <definedName name="TRC4OOR">[3]Equipment!$K$14</definedName>
    <definedName name="TRC4OR">[3]Equipment!$E$14</definedName>
    <definedName name="TRC4ORR">[3]Equipment!$I$14</definedName>
    <definedName name="TRC4RR">[3]Equipment!$D$14</definedName>
    <definedName name="TRF3N">[3]Equipment!$L$30</definedName>
    <definedName name="TRF3OER">[3]Equipment!$J$30</definedName>
    <definedName name="TRF3OOR">[3]Equipment!$K$30</definedName>
    <definedName name="TRF3OR">[3]Equipment!$E$30</definedName>
    <definedName name="TRF3ORR">[3]Equipment!$I$30</definedName>
    <definedName name="TRF3RR">[3]Equipment!$D$30</definedName>
    <definedName name="TRFBN">[3]Equipment!$L$29</definedName>
    <definedName name="TRFBOER">[3]Equipment!$J$29</definedName>
    <definedName name="TRFBOOR">[3]Equipment!$K$29</definedName>
    <definedName name="TRFBOR">[3]Equipment!$E$29</definedName>
    <definedName name="TRFBORR">[3]Equipment!$I$29</definedName>
    <definedName name="TRFBRR">[3]Equipment!$D$29</definedName>
    <definedName name="TRFSN">[3]Equipment!$L$22</definedName>
    <definedName name="TRFSOER">[3]Equipment!$J$22</definedName>
    <definedName name="TRFSOOR">[3]Equipment!$K$22</definedName>
    <definedName name="TRFSOR">[3]Equipment!$E$22</definedName>
    <definedName name="TRFSORR">[3]Equipment!$I$22</definedName>
    <definedName name="TRFSRR">[3]Equipment!$D$22</definedName>
    <definedName name="TRMRN">[3]Equipment!$L$15</definedName>
    <definedName name="TRMROER">[3]Equipment!$J$15</definedName>
    <definedName name="TRMROOR">[3]Equipment!$K$15</definedName>
    <definedName name="TRMROR">[3]Equipment!$E$15</definedName>
    <definedName name="TRMRORR">[3]Equipment!$I$15</definedName>
    <definedName name="TRMRRR">[3]Equipment!$D$15</definedName>
    <definedName name="TRP2N">[3]Equipment!$L$17</definedName>
    <definedName name="TRP2OER">[3]Equipment!$J$17</definedName>
    <definedName name="TRP2OOR">[3]Equipment!$K$17</definedName>
    <definedName name="TRP2OR">[3]Equipment!$E$17</definedName>
    <definedName name="TRP2ORR">[3]Equipment!$I$17</definedName>
    <definedName name="TRP2RR">[3]Equipment!$D$17</definedName>
    <definedName name="TRP4N">[3]Equipment!$L$13</definedName>
    <definedName name="TRP4OER">[3]Equipment!$J$13</definedName>
    <definedName name="TRP4OOR">[3]Equipment!$K$13</definedName>
    <definedName name="TRP4OR">[3]Equipment!$E$13</definedName>
    <definedName name="TRP4ORR">[3]Equipment!$I$13</definedName>
    <definedName name="TRP4RR">[3]Equipment!$D$13</definedName>
    <definedName name="TRSCN">[3]Equipment!$L$31</definedName>
    <definedName name="TRSCOER">[3]Equipment!$J$31</definedName>
    <definedName name="TRSCOOR">[3]Equipment!$K$31</definedName>
    <definedName name="TRSCOR">[3]Equipment!$E$31</definedName>
    <definedName name="TRSCORR">[3]Equipment!$I$31</definedName>
    <definedName name="TRSCRR">[3]Equipment!$D$31</definedName>
    <definedName name="TRSFN">[3]Equipment!$L$24</definedName>
    <definedName name="TRSFOER">[3]Equipment!$J$24</definedName>
    <definedName name="TRSFOOR">[3]Equipment!$K$24</definedName>
    <definedName name="TRSFOR">[3]Equipment!$E$24</definedName>
    <definedName name="TRSFORR">[3]Equipment!$I$24</definedName>
    <definedName name="TRSFRR">[3]Equipment!$D$24</definedName>
    <definedName name="TRSSN">[3]Equipment!$L$23</definedName>
    <definedName name="TRSSOER">[3]Equipment!$J$23</definedName>
    <definedName name="TRSSOOR">[3]Equipment!$K$23</definedName>
    <definedName name="TRSSOR">[3]Equipment!$E$23</definedName>
    <definedName name="TRSSORR">[3]Equipment!$I$23</definedName>
    <definedName name="TRSSRR">[3]Equipment!$D$23</definedName>
    <definedName name="TRTBN">[3]Equipment!$L$28</definedName>
    <definedName name="TRTBOER">[3]Equipment!$J$28</definedName>
    <definedName name="TRTBOOR">[3]Equipment!$K$28</definedName>
    <definedName name="TRTBOR">[3]Equipment!$E$28</definedName>
    <definedName name="TRTBORR">[3]Equipment!$I$28</definedName>
    <definedName name="TRTBRR">[3]Equipment!$D$28</definedName>
    <definedName name="TRTCN">[3]Equipment!$L$12</definedName>
    <definedName name="TRTCOER">[3]Equipment!$J$12</definedName>
    <definedName name="TRTCOOR">[3]Equipment!$K$12</definedName>
    <definedName name="TRTCOR">[3]Equipment!$E$12</definedName>
    <definedName name="TRTCORR">[3]Equipment!$I$12</definedName>
    <definedName name="TRTCRR">[3]Equipment!$D$12</definedName>
    <definedName name="TRTDN">[3]Equipment!$L$34</definedName>
    <definedName name="TRTDOER">[3]Equipment!$J$34</definedName>
    <definedName name="TRTDOOR">[3]Equipment!$K$34</definedName>
    <definedName name="TRTDOR">[3]Equipment!$E$34</definedName>
    <definedName name="TRTDORR">[3]Equipment!$I$34</definedName>
    <definedName name="TRTDRR">[3]Equipment!$D$34</definedName>
    <definedName name="TRTFN">[3]Equipment!$L$20</definedName>
    <definedName name="TRTFOER">[3]Equipment!$J$20</definedName>
    <definedName name="TRTFOOR">[3]Equipment!$K$20</definedName>
    <definedName name="TRTFOR">[3]Equipment!$E$20</definedName>
    <definedName name="TRTFORR">[3]Equipment!$I$20</definedName>
    <definedName name="TRTFRR">[3]Equipment!$D$20</definedName>
    <definedName name="TRTSN">[3]Equipment!$L$21</definedName>
    <definedName name="TRTSOER">[3]Equipment!$J$21</definedName>
    <definedName name="TRTSOOR">[3]Equipment!$K$21</definedName>
    <definedName name="TRTSOR">[3]Equipment!$E$21</definedName>
    <definedName name="TRTSORR">[3]Equipment!$I$21</definedName>
    <definedName name="TRTSRR">[3]Equipment!$D$21</definedName>
    <definedName name="TRTTN">[3]Equipment!$L$10</definedName>
    <definedName name="TRTTOER">[3]Equipment!$J$10</definedName>
    <definedName name="TRTTOOR">[3]Equipment!$K$10</definedName>
    <definedName name="TRTTOR">[3]Equipment!$E$10</definedName>
    <definedName name="TRTTORR">[3]Equipment!$I$10</definedName>
    <definedName name="TRTTRR">[3]Equipment!$D$10</definedName>
    <definedName name="TRTWN">[3]Equipment!$L$11</definedName>
    <definedName name="TRTWOER">[3]Equipment!$J$11</definedName>
    <definedName name="TRTWOOR">[3]Equipment!$K$11</definedName>
    <definedName name="TRTWOR">[3]Equipment!$E$11</definedName>
    <definedName name="TRTWORR">[3]Equipment!$I$11</definedName>
    <definedName name="TRTWRR">[3]Equipment!$D$11</definedName>
    <definedName name="TRUWN">[3]Equipment!$L$25</definedName>
    <definedName name="TRUWOER">[3]Equipment!$J$25</definedName>
    <definedName name="TRUWOOR">[3]Equipment!$K$25</definedName>
    <definedName name="TRUWOR">[3]Equipment!$E$25</definedName>
    <definedName name="TRUWORR">[3]Equipment!$I$25</definedName>
    <definedName name="TRUWRR">[3]Equipment!$D$25</definedName>
    <definedName name="TRWDN">[3]Equipment!$L$27</definedName>
    <definedName name="TRWDOER">[3]Equipment!$J$27</definedName>
    <definedName name="TRWDOOR">[3]Equipment!$K$27</definedName>
    <definedName name="TRWDOR">[3]Equipment!$E$27</definedName>
    <definedName name="TRWDORR">[3]Equipment!$I$27</definedName>
    <definedName name="TRWDRR">[3]Equipment!$D$27</definedName>
    <definedName name="TRWGN">[3]Equipment!$L$26</definedName>
    <definedName name="TRWGOER">[3]Equipment!$J$26</definedName>
    <definedName name="TRWGOOR">[3]Equipment!$K$26</definedName>
    <definedName name="TRWGOR">[3]Equipment!$E$26</definedName>
    <definedName name="TRWGORR">[3]Equipment!$I$26</definedName>
    <definedName name="TRWGRR">[3]Equipment!$D$26</definedName>
    <definedName name="TRWRN">[3]Equipment!$L$16</definedName>
    <definedName name="TRWROER">[3]Equipment!$J$16</definedName>
    <definedName name="TRWROOR">[3]Equipment!$K$16</definedName>
    <definedName name="TRWROR">[3]Equipment!$E$16</definedName>
    <definedName name="TRWRORR">[3]Equipment!$I$16</definedName>
    <definedName name="TRWRRR">[3]Equipment!$D$16</definedName>
    <definedName name="TRWTN">[3]Equipment!$L$32</definedName>
    <definedName name="TRWTOER">[3]Equipment!$J$32</definedName>
    <definedName name="TRWTOOR">[3]Equipment!$K$32</definedName>
    <definedName name="TRWTOR">[3]Equipment!$E$32</definedName>
    <definedName name="TRWTORR">[3]Equipment!$I$32</definedName>
    <definedName name="TRWTRR">[3]Equipment!$D$32</definedName>
    <definedName name="TSTRN">[3]Equipment!$L$140</definedName>
    <definedName name="TSTROER">[3]Equipment!$J$140</definedName>
    <definedName name="TSTROR">[3]Equipment!$E$140</definedName>
    <definedName name="TSTRORR">[3]Equipment!$I$140</definedName>
    <definedName name="TSTRRR">[3]Equipment!$D$140</definedName>
    <definedName name="TT">[3]MI!$N$35</definedName>
    <definedName name="TTF">[3]Labour!$G$65</definedName>
    <definedName name="TW08N">[3]Equipment!$L$43</definedName>
    <definedName name="TW08OER">[3]Equipment!$J$43</definedName>
    <definedName name="TW08OOR">[3]Equipment!$K$43</definedName>
    <definedName name="TW08OR">[3]Equipment!$E$43</definedName>
    <definedName name="TW08ORR">[3]Equipment!$I$43</definedName>
    <definedName name="TW08RR">[3]Equipment!$D$43</definedName>
    <definedName name="UC?">[3]Labour!$D$8</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PER">'[10]triangular&amp;uniform'!$E$5</definedName>
    <definedName name="VN">[5]Cover!$E$2</definedName>
    <definedName name="W100AH">[3]Labour!$D$108</definedName>
    <definedName name="W100B">[3]Labour!$L$108</definedName>
    <definedName name="W100BR">[3]Labour!$C$108</definedName>
    <definedName name="W100S">[3]Labour!$J$108</definedName>
    <definedName name="W100T">[3]Labour!$K$108</definedName>
    <definedName name="W110AH">[3]Labour!$D$109</definedName>
    <definedName name="W110B">[3]Labour!$L$109</definedName>
    <definedName name="W110BR">[3]Labour!$C$109</definedName>
    <definedName name="W110S">[3]Labour!$J$109</definedName>
    <definedName name="W110T">[3]Labour!$K$109</definedName>
    <definedName name="W120AH">[3]Labour!$D$110</definedName>
    <definedName name="W120B">[3]Labour!$L$110</definedName>
    <definedName name="W120BR">[3]Labour!$C$110</definedName>
    <definedName name="W120S">[3]Labour!$J$110</definedName>
    <definedName name="W120T">[3]Labour!$K$110</definedName>
    <definedName name="W125AH">[3]Labour!$D$111</definedName>
    <definedName name="W130AH">[3]Labour!$D$112</definedName>
    <definedName name="W130B">[3]Labour!$L$112</definedName>
    <definedName name="W130BR">[3]Labour!$C$112</definedName>
    <definedName name="W130S">[3]Labour!$J$112</definedName>
    <definedName name="W130T">[3]Labour!$K$112</definedName>
    <definedName name="W140AH">[3]Labour!$D$113</definedName>
    <definedName name="W140B">[3]Labour!$L$113</definedName>
    <definedName name="W140BR">[3]Labour!$C$113</definedName>
    <definedName name="W140S">[3]Labour!$J$113</definedName>
    <definedName name="W140T">[3]Labour!$K$113</definedName>
    <definedName name="W150AH">[3]Labour!$D$115</definedName>
    <definedName name="W150B">[3]Labour!$L$115</definedName>
    <definedName name="W150BR">[3]Labour!$C$115</definedName>
    <definedName name="W150S">[3]Labour!$J$115</definedName>
    <definedName name="W150T">[3]Labour!$K$115</definedName>
    <definedName name="W190AH">[3]Labour!$D$116</definedName>
    <definedName name="W190B">[3]Labour!$L$116</definedName>
    <definedName name="W190BR">[3]Labour!$C$116</definedName>
    <definedName name="W190S">[3]Labour!$J$116</definedName>
    <definedName name="W190T">[3]Labour!$K$116</definedName>
    <definedName name="W200AH">[3]Labour!$D$117</definedName>
    <definedName name="W200B">[3]Labour!$L$117</definedName>
    <definedName name="W200BR">[3]Labour!$C$117</definedName>
    <definedName name="W200S">[3]Labour!$J$117</definedName>
    <definedName name="W200T">[3]Labour!$K$117</definedName>
    <definedName name="W210AH">[3]Labour!$D$118</definedName>
    <definedName name="W210B">[3]Labour!$L$118</definedName>
    <definedName name="W210BR">[3]Labour!$C$118</definedName>
    <definedName name="W210S">[3]Labour!$J$118</definedName>
    <definedName name="W210T">[3]Labour!$K$118</definedName>
    <definedName name="W220S">[3]Labour!$J$119</definedName>
    <definedName name="WD">[5]Cover!$J$5</definedName>
    <definedName name="wdc">#REF!</definedName>
    <definedName name="Welder_Helper">[3]Labour!$C$117</definedName>
    <definedName name="WH">[3]MI!$J$35</definedName>
    <definedName name="WH20N">[3]Equipment!$L$164</definedName>
    <definedName name="WH20OER">[3]Equipment!$J$164</definedName>
    <definedName name="WH20OOR">[3]Equipment!$K$164</definedName>
    <definedName name="WH20OR">[3]Equipment!$E$164</definedName>
    <definedName name="WH20ORR">[3]Equipment!$I$164</definedName>
    <definedName name="WH20RR">[3]Equipment!$D$164</definedName>
    <definedName name="WHW">[3]Labour!$E$107</definedName>
    <definedName name="WLD2N">[3]Equipment!$L$73</definedName>
    <definedName name="WLD2OOR">[3]Equipment!$K$73</definedName>
    <definedName name="WLD2OR">[3]Equipment!$E$73</definedName>
    <definedName name="WLD2ORR">[3]Equipment!$I$73</definedName>
    <definedName name="WLD2RR">[3]Equipment!$D$73</definedName>
    <definedName name="WLD3N">[3]Equipment!$L$72</definedName>
    <definedName name="WLD3OOR">[3]Equipment!$K$72</definedName>
    <definedName name="WLD3OR">[3]Equipment!$E$72</definedName>
    <definedName name="WLD3ORR">[3]Equipment!$I$72</definedName>
    <definedName name="WLD3RR">[3]Equipment!$D$72</definedName>
    <definedName name="WLDIN">[3]Equipment!$L$71</definedName>
    <definedName name="WLDIOER">[3]Equipment!$J$71</definedName>
    <definedName name="WLDIOOR">[3]Equipment!$K$71</definedName>
    <definedName name="WLDIOR">[3]Equipment!$E$71</definedName>
    <definedName name="WLDIORR">[3]Equipment!$I$71</definedName>
    <definedName name="WLDIRR">[3]Equipment!$D$71</definedName>
    <definedName name="WOF">[3]Labour!$H$107</definedName>
    <definedName name="WPF">[3]Labour!$F$107</definedName>
    <definedName name="WRD">[3]LRD!$J$5</definedName>
    <definedName name="wrn.Commercial._.Only." hidden="1">{#N/A,#N/A,TRUE,"Commercial Fab Cover";#N/A,#N/A,TRUE,"Commercial Summary"}</definedName>
    <definedName name="wrn.Complete._.Spread." hidden="1">{#N/A,#N/A,TRUE,"Commercial Fab Cover";#N/A,#N/A,TRUE,"Commercial Summary";#N/A,#N/A,TRUE,"Technical Summary"}</definedName>
    <definedName name="WTF">[3]Labour!$G$107</definedName>
    <definedName name="X_DET">#REF!</definedName>
    <definedName name="XXXXER">[3]RDP!$N$27</definedName>
    <definedName name="yearList">[4]VLOOKUP!$G$1:$G$21</definedName>
    <definedName name="yn">[4]VLOOKUP!$J$1:$J$2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6" i="20" l="1"/>
  <c r="B35" i="20"/>
  <c r="E19" i="20"/>
  <c r="E18" i="20"/>
  <c r="E17" i="20"/>
  <c r="B28" i="20"/>
  <c r="B18" i="20"/>
  <c r="B17" i="20"/>
  <c r="B19" i="20"/>
  <c r="F70" i="20"/>
  <c r="F67" i="20"/>
  <c r="F28" i="20"/>
  <c r="B9" i="20"/>
  <c r="B8" i="20"/>
  <c r="B29" i="20" s="1"/>
  <c r="B7" i="20"/>
  <c r="C12" i="15"/>
  <c r="C4" i="15"/>
  <c r="F27" i="20" l="1"/>
  <c r="B27" i="20"/>
  <c r="B30" i="20"/>
  <c r="F30" i="20"/>
  <c r="E11" i="8"/>
  <c r="B31" i="8"/>
  <c r="O31" i="20"/>
  <c r="B26" i="8"/>
  <c r="E5" i="22" s="1"/>
  <c r="F5" i="22" s="1"/>
  <c r="E10" i="22"/>
  <c r="E9" i="22"/>
  <c r="B6" i="8"/>
  <c r="F32" i="22"/>
  <c r="F31" i="22"/>
  <c r="F30" i="22"/>
  <c r="F29" i="22"/>
  <c r="F28" i="22"/>
  <c r="E27" i="22"/>
  <c r="F27" i="22" s="1"/>
  <c r="F26" i="22"/>
  <c r="F25" i="22"/>
  <c r="F24" i="22"/>
  <c r="F23" i="22"/>
  <c r="F22" i="22"/>
  <c r="E21" i="22"/>
  <c r="F21" i="22" s="1"/>
  <c r="F20" i="22"/>
  <c r="F19" i="22"/>
  <c r="F18" i="22"/>
  <c r="F17" i="22"/>
  <c r="E16" i="22"/>
  <c r="F16" i="22" s="1"/>
  <c r="F15" i="22"/>
  <c r="F14" i="22"/>
  <c r="F13" i="22"/>
  <c r="F12" i="22"/>
  <c r="E11" i="22"/>
  <c r="F11" i="22" s="1"/>
  <c r="F10" i="22"/>
  <c r="F9" i="22"/>
  <c r="E8" i="22"/>
  <c r="F8" i="22" s="1"/>
  <c r="F29" i="20"/>
  <c r="G27" i="20"/>
  <c r="N39" i="20"/>
  <c r="N40" i="20" s="1"/>
  <c r="N55" i="20" s="1"/>
  <c r="M39" i="20"/>
  <c r="M40" i="20" s="1"/>
  <c r="M55" i="20" s="1"/>
  <c r="L39" i="20"/>
  <c r="L40" i="20" s="1"/>
  <c r="L55" i="20" s="1"/>
  <c r="K39" i="20"/>
  <c r="K40" i="20" s="1"/>
  <c r="K55" i="20" s="1"/>
  <c r="J39" i="20"/>
  <c r="J40" i="20" s="1"/>
  <c r="J55" i="20" s="1"/>
  <c r="I39" i="20"/>
  <c r="I40" i="20" s="1"/>
  <c r="I55" i="20" s="1"/>
  <c r="H39" i="20"/>
  <c r="H40" i="20" s="1"/>
  <c r="H55" i="20" s="1"/>
  <c r="G40" i="20"/>
  <c r="G55" i="20" s="1"/>
  <c r="F40" i="20"/>
  <c r="F55" i="20" s="1"/>
  <c r="E40" i="20"/>
  <c r="E55" i="20" s="1"/>
  <c r="D40" i="20"/>
  <c r="D55" i="20" s="1"/>
  <c r="C40" i="20"/>
  <c r="C55" i="20" s="1"/>
  <c r="B40" i="20"/>
  <c r="O32" i="20"/>
  <c r="H29" i="20"/>
  <c r="N28" i="20"/>
  <c r="M28" i="20"/>
  <c r="L28" i="20"/>
  <c r="K28" i="20"/>
  <c r="J28" i="20"/>
  <c r="I28" i="20"/>
  <c r="H28" i="20"/>
  <c r="G28" i="20"/>
  <c r="E28" i="20"/>
  <c r="D28" i="20"/>
  <c r="C28" i="20"/>
  <c r="C19" i="20"/>
  <c r="D19" i="20" s="1"/>
  <c r="F19" i="20" s="1"/>
  <c r="G19" i="20" s="1"/>
  <c r="H19" i="20" s="1"/>
  <c r="I19" i="20" s="1"/>
  <c r="J19" i="20" s="1"/>
  <c r="K19" i="20" s="1"/>
  <c r="L19" i="20" s="1"/>
  <c r="M19" i="20" s="1"/>
  <c r="N19" i="20" s="1"/>
  <c r="B20" i="20"/>
  <c r="C17" i="20"/>
  <c r="D17" i="20" s="1"/>
  <c r="F17" i="20" s="1"/>
  <c r="G17" i="20" s="1"/>
  <c r="H17" i="20" s="1"/>
  <c r="I17" i="20" s="1"/>
  <c r="J17" i="20" s="1"/>
  <c r="K17" i="20" s="1"/>
  <c r="L17" i="20" s="1"/>
  <c r="M17" i="20" s="1"/>
  <c r="N17" i="20" s="1"/>
  <c r="E10" i="18"/>
  <c r="F10" i="18" s="1"/>
  <c r="E7" i="18"/>
  <c r="F7" i="18" s="1"/>
  <c r="E6" i="18"/>
  <c r="F3" i="18"/>
  <c r="F4" i="18"/>
  <c r="F6" i="18"/>
  <c r="F9" i="18"/>
  <c r="F11" i="18"/>
  <c r="F12" i="18"/>
  <c r="F13" i="18"/>
  <c r="F15" i="18"/>
  <c r="F16" i="18"/>
  <c r="F17" i="18"/>
  <c r="F18" i="18"/>
  <c r="F20" i="18"/>
  <c r="F21" i="18"/>
  <c r="F22" i="18"/>
  <c r="F23" i="18"/>
  <c r="F24" i="18"/>
  <c r="F25" i="18"/>
  <c r="F26" i="18"/>
  <c r="F27" i="18"/>
  <c r="F28" i="18"/>
  <c r="F29" i="18"/>
  <c r="F30" i="18"/>
  <c r="F31" i="18"/>
  <c r="F32" i="18"/>
  <c r="F33" i="18"/>
  <c r="F34" i="18"/>
  <c r="F35" i="18"/>
  <c r="E30" i="18"/>
  <c r="E24" i="18"/>
  <c r="E19" i="18"/>
  <c r="F19" i="18" s="1"/>
  <c r="E14" i="18"/>
  <c r="F14" i="18" s="1"/>
  <c r="E11" i="18"/>
  <c r="E8" i="18"/>
  <c r="F8" i="18" s="1"/>
  <c r="E2" i="18"/>
  <c r="F2" i="18" s="1"/>
  <c r="C19" i="15"/>
  <c r="N30" i="20" l="1"/>
  <c r="M30" i="20"/>
  <c r="J30" i="20"/>
  <c r="I30" i="20"/>
  <c r="L30" i="20"/>
  <c r="K30" i="20"/>
  <c r="H30" i="20"/>
  <c r="G30" i="20"/>
  <c r="D30" i="20"/>
  <c r="C30" i="20"/>
  <c r="G29" i="20"/>
  <c r="G36" i="20" s="1"/>
  <c r="E4" i="22"/>
  <c r="F4" i="22" s="1"/>
  <c r="J29" i="20"/>
  <c r="I29" i="20"/>
  <c r="O28" i="20"/>
  <c r="O39" i="20"/>
  <c r="C27" i="20"/>
  <c r="D27" i="20"/>
  <c r="B55" i="20"/>
  <c r="C18" i="20"/>
  <c r="C21" i="20" s="1"/>
  <c r="C42" i="20" s="1"/>
  <c r="B22" i="20"/>
  <c r="E27" i="20"/>
  <c r="K29" i="20"/>
  <c r="B21" i="20"/>
  <c r="H27" i="20"/>
  <c r="H36" i="20" s="1"/>
  <c r="N29" i="20"/>
  <c r="I27" i="20"/>
  <c r="J27" i="20"/>
  <c r="L27" i="20"/>
  <c r="M29" i="20"/>
  <c r="M27" i="20"/>
  <c r="C29" i="20"/>
  <c r="L29" i="20"/>
  <c r="K27" i="20"/>
  <c r="N27" i="20"/>
  <c r="D29" i="20"/>
  <c r="E29" i="20"/>
  <c r="E5" i="18"/>
  <c r="F5" i="18" s="1"/>
  <c r="C10" i="15"/>
  <c r="B27" i="8"/>
  <c r="E7" i="22" s="1"/>
  <c r="E36" i="20" l="1"/>
  <c r="C36" i="20"/>
  <c r="C43" i="20"/>
  <c r="B54" i="20"/>
  <c r="O30" i="20"/>
  <c r="E6" i="22"/>
  <c r="F6" i="22" s="1"/>
  <c r="F7" i="22"/>
  <c r="G54" i="20"/>
  <c r="F36" i="20"/>
  <c r="F54" i="20" s="1"/>
  <c r="O29" i="20"/>
  <c r="O27" i="20"/>
  <c r="D36" i="20"/>
  <c r="D54" i="20" s="1"/>
  <c r="C54" i="20"/>
  <c r="I36" i="20"/>
  <c r="I54" i="20" s="1"/>
  <c r="J36" i="20"/>
  <c r="J54" i="20" s="1"/>
  <c r="H54" i="20"/>
  <c r="M36" i="20"/>
  <c r="M54" i="20" s="1"/>
  <c r="E54" i="20"/>
  <c r="C22" i="20"/>
  <c r="C20" i="20"/>
  <c r="D18" i="20"/>
  <c r="L36" i="20"/>
  <c r="L54" i="20" s="1"/>
  <c r="N36" i="20"/>
  <c r="N54" i="20" s="1"/>
  <c r="K36" i="20"/>
  <c r="K54" i="20" s="1"/>
  <c r="F13" i="8"/>
  <c r="G13" i="8" s="1"/>
  <c r="B25" i="8"/>
  <c r="B24" i="8"/>
  <c r="C36" i="8"/>
  <c r="E36" i="8"/>
  <c r="D36" i="8"/>
  <c r="E7" i="8"/>
  <c r="C44" i="20" l="1"/>
  <c r="B32" i="8"/>
  <c r="B57" i="20"/>
  <c r="E3" i="22"/>
  <c r="E8" i="8"/>
  <c r="B58" i="20"/>
  <c r="B63" i="20" s="1"/>
  <c r="E2" i="22"/>
  <c r="F2" i="22" s="1"/>
  <c r="F3" i="22"/>
  <c r="O36" i="20"/>
  <c r="D22" i="20"/>
  <c r="D20" i="20"/>
  <c r="D21" i="20"/>
  <c r="D42" i="20" s="1"/>
  <c r="D19" i="8"/>
  <c r="D21" i="8" s="1"/>
  <c r="E19" i="8"/>
  <c r="E21" i="8" s="1"/>
  <c r="C19" i="8"/>
  <c r="C21" i="8" s="1"/>
  <c r="C47" i="20" l="1"/>
  <c r="C51" i="20" s="1"/>
  <c r="D43" i="20"/>
  <c r="B62" i="20"/>
  <c r="B59" i="20"/>
  <c r="E20" i="20"/>
  <c r="E21" i="20"/>
  <c r="E22" i="20"/>
  <c r="C20" i="8"/>
  <c r="D20" i="8" s="1"/>
  <c r="E20" i="8" s="1"/>
  <c r="E42" i="20" l="1"/>
  <c r="E43" i="20" s="1"/>
  <c r="E44" i="20" s="1"/>
  <c r="E47" i="20" s="1"/>
  <c r="F21" i="20"/>
  <c r="F42" i="20" s="1"/>
  <c r="F44" i="20" s="1"/>
  <c r="E51" i="20"/>
  <c r="D44" i="20"/>
  <c r="D47" i="20" s="1"/>
  <c r="D51" i="20" s="1"/>
  <c r="D56" i="20" s="1"/>
  <c r="D58" i="20" s="1"/>
  <c r="B64" i="20"/>
  <c r="C57" i="20"/>
  <c r="F20" i="20"/>
  <c r="F48" i="20" s="1"/>
  <c r="F43" i="20"/>
  <c r="F22" i="20"/>
  <c r="G18" i="20"/>
  <c r="C56" i="20"/>
  <c r="C58" i="20" s="1"/>
  <c r="F47" i="20" l="1"/>
  <c r="F51" i="20" s="1"/>
  <c r="G21" i="20"/>
  <c r="G42" i="20" s="1"/>
  <c r="C62" i="20"/>
  <c r="G20" i="20"/>
  <c r="G43" i="20"/>
  <c r="G44" i="20" s="1"/>
  <c r="G22" i="20"/>
  <c r="H18" i="20"/>
  <c r="C63" i="20"/>
  <c r="C59" i="20"/>
  <c r="D63" i="20"/>
  <c r="H22" i="20" l="1"/>
  <c r="H21" i="20"/>
  <c r="G47" i="20"/>
  <c r="G51" i="20" s="1"/>
  <c r="F56" i="20"/>
  <c r="F58" i="20" s="1"/>
  <c r="D57" i="20"/>
  <c r="C64" i="20"/>
  <c r="I18" i="20"/>
  <c r="I21" i="20" s="1"/>
  <c r="H20" i="20"/>
  <c r="E56" i="20"/>
  <c r="E58" i="20" s="1"/>
  <c r="H42" i="20" l="1"/>
  <c r="I42" i="20"/>
  <c r="I43" i="20" s="1"/>
  <c r="I44" i="20" s="1"/>
  <c r="I47" i="20" s="1"/>
  <c r="I51" i="20" s="1"/>
  <c r="I22" i="20"/>
  <c r="J18" i="20"/>
  <c r="J21" i="20" s="1"/>
  <c r="I20" i="20"/>
  <c r="D62" i="20"/>
  <c r="D59" i="20"/>
  <c r="H43" i="20" l="1"/>
  <c r="H44" i="20" s="1"/>
  <c r="H47" i="20" s="1"/>
  <c r="H51" i="20" s="1"/>
  <c r="H56" i="20" s="1"/>
  <c r="E63" i="20"/>
  <c r="F63" i="20"/>
  <c r="H58" i="20"/>
  <c r="J42" i="20"/>
  <c r="J43" i="20" s="1"/>
  <c r="J44" i="20" s="1"/>
  <c r="J47" i="20" s="1"/>
  <c r="J51" i="20" s="1"/>
  <c r="J20" i="20"/>
  <c r="J22" i="20"/>
  <c r="K18" i="20"/>
  <c r="K21" i="20" s="1"/>
  <c r="E57" i="20"/>
  <c r="D64" i="20"/>
  <c r="G56" i="20"/>
  <c r="G58" i="20" s="1"/>
  <c r="E62" i="20" l="1"/>
  <c r="E59" i="20"/>
  <c r="K22" i="20"/>
  <c r="L18" i="20"/>
  <c r="L21" i="20" s="1"/>
  <c r="K42" i="20"/>
  <c r="K43" i="20" s="1"/>
  <c r="K44" i="20" s="1"/>
  <c r="K47" i="20" s="1"/>
  <c r="K51" i="20" s="1"/>
  <c r="K20" i="20"/>
  <c r="G63" i="20" l="1"/>
  <c r="H63" i="20"/>
  <c r="J56" i="20"/>
  <c r="J58" i="20" s="1"/>
  <c r="L22" i="20"/>
  <c r="M18" i="20"/>
  <c r="M21" i="20" s="1"/>
  <c r="L42" i="20"/>
  <c r="L43" i="20" s="1"/>
  <c r="L44" i="20" s="1"/>
  <c r="L47" i="20" s="1"/>
  <c r="L51" i="20" s="1"/>
  <c r="L20" i="20"/>
  <c r="I56" i="20"/>
  <c r="I58" i="20" s="1"/>
  <c r="E64" i="20"/>
  <c r="F57" i="20"/>
  <c r="F62" i="20" l="1"/>
  <c r="F59" i="20"/>
  <c r="M22" i="20"/>
  <c r="N18" i="20"/>
  <c r="N21" i="20" s="1"/>
  <c r="M20" i="20"/>
  <c r="M42" i="20"/>
  <c r="M43" i="20" s="1"/>
  <c r="M44" i="20" s="1"/>
  <c r="M47" i="20" s="1"/>
  <c r="M51" i="20" s="1"/>
  <c r="I63" i="20" l="1"/>
  <c r="J63" i="20"/>
  <c r="L56" i="20"/>
  <c r="L58" i="20" s="1"/>
  <c r="N42" i="20"/>
  <c r="N22" i="20"/>
  <c r="N20" i="20"/>
  <c r="K56" i="20"/>
  <c r="K58" i="20" s="1"/>
  <c r="G57" i="20"/>
  <c r="F64" i="20"/>
  <c r="N43" i="20" l="1"/>
  <c r="O42" i="20"/>
  <c r="M56" i="20"/>
  <c r="M58" i="20" s="1"/>
  <c r="G62" i="20"/>
  <c r="G59" i="20"/>
  <c r="N44" i="20" l="1"/>
  <c r="O43" i="20"/>
  <c r="K63" i="20"/>
  <c r="L63" i="20"/>
  <c r="O40" i="20"/>
  <c r="H57" i="20"/>
  <c r="G64" i="20"/>
  <c r="O44" i="20" l="1"/>
  <c r="N47" i="20"/>
  <c r="M63" i="20"/>
  <c r="H62" i="20"/>
  <c r="H59" i="20"/>
  <c r="N51" i="20" l="1"/>
  <c r="O47" i="20"/>
  <c r="H64" i="20"/>
  <c r="I57" i="20"/>
  <c r="O51" i="20" l="1"/>
  <c r="N56" i="20"/>
  <c r="N58" i="20" s="1"/>
  <c r="N63" i="20" s="1"/>
  <c r="I62" i="20"/>
  <c r="I59" i="20"/>
  <c r="I64" i="20" l="1"/>
  <c r="J57" i="20"/>
  <c r="J62" i="20" l="1"/>
  <c r="J59" i="20"/>
  <c r="J64" i="20" l="1"/>
  <c r="K57" i="20"/>
  <c r="K62" i="20" l="1"/>
  <c r="K59" i="20"/>
  <c r="K64" i="20" l="1"/>
  <c r="L57" i="20"/>
  <c r="L62" i="20" l="1"/>
  <c r="L59" i="20"/>
  <c r="L64" i="20" l="1"/>
  <c r="M57" i="20"/>
  <c r="M62" i="20" l="1"/>
  <c r="M59" i="20"/>
  <c r="M64" i="20" l="1"/>
  <c r="N57" i="20"/>
  <c r="N62" i="20" l="1"/>
  <c r="N59" i="20"/>
  <c r="N64"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David Billay</author>
  </authors>
  <commentList>
    <comment ref="B12" authorId="0" shapeId="0" xr:uid="{7C0E19B5-5E7C-42D0-ABE3-4FDD7B59B902}">
      <text>
        <r>
          <rPr>
            <b/>
            <sz val="9"/>
            <color indexed="81"/>
            <rFont val="Tahoma"/>
            <family val="2"/>
          </rPr>
          <t>David Billay:</t>
        </r>
        <r>
          <rPr>
            <sz val="9"/>
            <color indexed="81"/>
            <rFont val="Tahoma"/>
            <family val="2"/>
          </rPr>
          <t xml:space="preserve">
Includes shipping
</t>
        </r>
      </text>
    </comment>
  </commentList>
</comments>
</file>

<file path=xl/sharedStrings.xml><?xml version="1.0" encoding="utf-8"?>
<sst xmlns="http://schemas.openxmlformats.org/spreadsheetml/2006/main" count="468" uniqueCount="176">
  <si>
    <t>Cost (USD)</t>
  </si>
  <si>
    <t>Phase 1: Send to Africa</t>
  </si>
  <si>
    <t>Required</t>
  </si>
  <si>
    <t>360 miners (from Richard)</t>
  </si>
  <si>
    <t>1 TON Infraflow (from Richard)</t>
  </si>
  <si>
    <t>1 Transformer from China</t>
  </si>
  <si>
    <t>Cable from Nigeria</t>
  </si>
  <si>
    <t>Auxilary</t>
  </si>
  <si>
    <t>1 Dorm container (From TON yard)</t>
  </si>
  <si>
    <t>TBD</t>
  </si>
  <si>
    <t>Total</t>
  </si>
  <si>
    <t>Phase 2: Send to Africa</t>
  </si>
  <si>
    <t>1080 miners (from Richard)</t>
  </si>
  <si>
    <t>From TON yard</t>
  </si>
  <si>
    <t>Other</t>
  </si>
  <si>
    <t>3 TON Infraflow (from Richard)</t>
  </si>
  <si>
    <t>3 Transformer from Nigeria</t>
  </si>
  <si>
    <t>Cable from Nigeria (or maybe ship from Texas)</t>
  </si>
  <si>
    <t>Costs</t>
  </si>
  <si>
    <t>Miners</t>
  </si>
  <si>
    <t>Container</t>
  </si>
  <si>
    <t>Construction</t>
  </si>
  <si>
    <t>Quantity</t>
  </si>
  <si>
    <t>W</t>
  </si>
  <si>
    <t>Values in USD</t>
  </si>
  <si>
    <t># of MW of Power</t>
  </si>
  <si>
    <t># of MW Mining</t>
  </si>
  <si>
    <t>Capex Per MW</t>
  </si>
  <si>
    <t># of Containers</t>
  </si>
  <si>
    <t>MW</t>
  </si>
  <si>
    <t># of Transformers</t>
  </si>
  <si>
    <t>Cost per MW</t>
  </si>
  <si>
    <t>Miner Power(W)</t>
  </si>
  <si>
    <t>Network TH</t>
  </si>
  <si>
    <t>Container Cost Each</t>
  </si>
  <si>
    <t>TH</t>
  </si>
  <si>
    <t>Bitcoin per day</t>
  </si>
  <si>
    <t>Transformer Cost Each</t>
  </si>
  <si>
    <t>S19J Pro</t>
  </si>
  <si>
    <t>Buildout Cost Each Container</t>
  </si>
  <si>
    <t>Cashflow</t>
  </si>
  <si>
    <t>Month 0</t>
  </si>
  <si>
    <t>Month 1</t>
  </si>
  <si>
    <t>Month 2</t>
  </si>
  <si>
    <t>Month 3</t>
  </si>
  <si>
    <t xml:space="preserve"> </t>
  </si>
  <si>
    <t>Revenue</t>
  </si>
  <si>
    <t>Startup @ 50%</t>
  </si>
  <si>
    <t>Bitcoin per month</t>
  </si>
  <si>
    <t>Total Bitcoin</t>
  </si>
  <si>
    <t>Revenue (at 90,000 BTCUSD)</t>
  </si>
  <si>
    <t>Capex</t>
  </si>
  <si>
    <t>Transformers</t>
  </si>
  <si>
    <t>Site Development Management</t>
  </si>
  <si>
    <t>Land fee (per year)</t>
  </si>
  <si>
    <t>One time land startup fee</t>
  </si>
  <si>
    <t>Barge cost (Assume 1 per container)</t>
  </si>
  <si>
    <t>CapEx Total</t>
  </si>
  <si>
    <t>OpEx</t>
  </si>
  <si>
    <t>Site Operations</t>
  </si>
  <si>
    <t>OpEx Total</t>
  </si>
  <si>
    <t>Assumed BTCUSD</t>
  </si>
  <si>
    <t>Assumed network hashrate(PH)</t>
  </si>
  <si>
    <t>Buildout Cost Each</t>
  </si>
  <si>
    <t>New Infrastructure count</t>
  </si>
  <si>
    <t>Month 4</t>
  </si>
  <si>
    <t>Month 5</t>
  </si>
  <si>
    <t>Month 6</t>
  </si>
  <si>
    <t>Month 7</t>
  </si>
  <si>
    <t>Month 8</t>
  </si>
  <si>
    <t>Month 9</t>
  </si>
  <si>
    <t>Month 10</t>
  </si>
  <si>
    <t>Month 11</t>
  </si>
  <si>
    <t>Month 12</t>
  </si>
  <si>
    <t>Year1</t>
  </si>
  <si>
    <t>New Containers</t>
  </si>
  <si>
    <t>New miners</t>
  </si>
  <si>
    <t>New Transformers</t>
  </si>
  <si>
    <t>Total Infrastructure Count</t>
  </si>
  <si>
    <t>Containers</t>
  </si>
  <si>
    <t>Miners Total</t>
  </si>
  <si>
    <t>Site Power (MW)</t>
  </si>
  <si>
    <t>Hashing Online Total Site (PH)</t>
  </si>
  <si>
    <t>Hashing Online TON (TH)</t>
  </si>
  <si>
    <t>Site Startup Costs</t>
  </si>
  <si>
    <t>Africa Customs and Logistics</t>
  </si>
  <si>
    <t>Year 1</t>
  </si>
  <si>
    <t>Mining Difficulty (T)</t>
  </si>
  <si>
    <t>Forecasted Bitcoin Value (USD)</t>
  </si>
  <si>
    <t>Bitcoin per month (Site 90%)</t>
  </si>
  <si>
    <t>Monthly Revenue (Site)</t>
  </si>
  <si>
    <t>Income</t>
  </si>
  <si>
    <t>Site Monthly Income</t>
  </si>
  <si>
    <t>Monthly Income (Community)</t>
  </si>
  <si>
    <t>BTC</t>
  </si>
  <si>
    <t>Opex</t>
  </si>
  <si>
    <t>Starting Cash</t>
  </si>
  <si>
    <t>Change in Cash</t>
  </si>
  <si>
    <t>Ending Cash</t>
  </si>
  <si>
    <t>1.0</t>
  </si>
  <si>
    <t xml:space="preserve"> Obgoinbiri Site</t>
  </si>
  <si>
    <t>Budget (USD)</t>
  </si>
  <si>
    <t>Budget (CAD)</t>
  </si>
  <si>
    <t>USD/CAD</t>
  </si>
  <si>
    <t>1.1.1</t>
  </si>
  <si>
    <t>1MW TON Infraflow (with power cables)</t>
  </si>
  <si>
    <t>1.1.2</t>
  </si>
  <si>
    <t>2MW TON Phase 2 (with power cables)</t>
  </si>
  <si>
    <t>1.2.1</t>
  </si>
  <si>
    <t>Initial TON Miners</t>
  </si>
  <si>
    <t>1.2.2</t>
  </si>
  <si>
    <t>TON Phase 2 Miners</t>
  </si>
  <si>
    <t>1.3.1</t>
  </si>
  <si>
    <t>Initial 1.5 MVA Transformer 11KVA-400V</t>
  </si>
  <si>
    <t>1.3.2</t>
  </si>
  <si>
    <t>Phase 2 1.5MVA Transformer 11KVA-400V</t>
  </si>
  <si>
    <t>Electrical Materials</t>
  </si>
  <si>
    <t>1.4.1</t>
  </si>
  <si>
    <t>1/0 3 wire Cable</t>
  </si>
  <si>
    <t>1.4.2</t>
  </si>
  <si>
    <t>Misc electrical (lugs, bolts, strut)</t>
  </si>
  <si>
    <t>Logistics to Port Harcourt</t>
  </si>
  <si>
    <t>Ship TON infraflow container</t>
  </si>
  <si>
    <t>Ship Transformer</t>
  </si>
  <si>
    <t>Ship Cable</t>
  </si>
  <si>
    <t>Ship miners</t>
  </si>
  <si>
    <t>Logistics from Port Harcourt to Ogboinbiri</t>
  </si>
  <si>
    <t>Equipment for Makir</t>
  </si>
  <si>
    <t>Site 2 - 10 MW Model</t>
  </si>
  <si>
    <t>Distribution Cost Each</t>
  </si>
  <si>
    <t>Hashing Online TON (PH)</t>
  </si>
  <si>
    <t>TON TRAVEL</t>
  </si>
  <si>
    <t>Power cost upfront</t>
  </si>
  <si>
    <t>Bitcoin per month (TON)</t>
  </si>
  <si>
    <t>Monthly Revenue (TON)</t>
  </si>
  <si>
    <t>Community</t>
  </si>
  <si>
    <t>Nelson Salary</t>
  </si>
  <si>
    <t>Community Development Plan</t>
  </si>
  <si>
    <t>Monthly Income TON</t>
  </si>
  <si>
    <t>CAD</t>
  </si>
  <si>
    <t>per MW Power cost at 30%</t>
  </si>
  <si>
    <t xml:space="preserve">per mw power cost at 25% </t>
  </si>
  <si>
    <t>TON Infraflow (with power cables)</t>
  </si>
  <si>
    <t>TON Miners</t>
  </si>
  <si>
    <t>1.5 MVA Transformer 11KVA-400V</t>
  </si>
  <si>
    <t>Genset Cost Each</t>
  </si>
  <si>
    <t>Operations</t>
  </si>
  <si>
    <t>Genset Cost (power cost)</t>
  </si>
  <si>
    <t>Axxela Hashrate share</t>
  </si>
  <si>
    <t>Axxela Hashrate share (BTC)</t>
  </si>
  <si>
    <t xml:space="preserve">TON Hashrate share </t>
  </si>
  <si>
    <t>TON Hashrate share (BTC)</t>
  </si>
  <si>
    <t>New Gensets</t>
  </si>
  <si>
    <t>Gensets Total</t>
  </si>
  <si>
    <t>Miner Upgrade Holdback</t>
  </si>
  <si>
    <t>Miner Upgrade Holdback (BTC)</t>
  </si>
  <si>
    <t>Miner Holdback Value</t>
  </si>
  <si>
    <t>Miner Holdback Fund</t>
  </si>
  <si>
    <t>Miner Holdback Fund (BTC)</t>
  </si>
  <si>
    <t>Halvening</t>
  </si>
  <si>
    <t>Site Monthly Income (BTC)</t>
  </si>
  <si>
    <t>Genset Payback</t>
  </si>
  <si>
    <t>Gensets</t>
  </si>
  <si>
    <t>5 year Payback</t>
  </si>
  <si>
    <t>TON Investment</t>
  </si>
  <si>
    <t>3 year payback</t>
  </si>
  <si>
    <t>Axxela Hashrate Share</t>
  </si>
  <si>
    <t>3 year BTC Fund Value</t>
  </si>
  <si>
    <t>Axxela Capex</t>
  </si>
  <si>
    <t>TON Capex</t>
  </si>
  <si>
    <r>
      <t xml:space="preserve">TON Leverages a conservative model of Bitcoin price to forecast profitability.
While popular models forecast Bitcoin prices in excess of 50% year over Year, TON's model requires a steady forecast of Bitcoin price to weather the ups and downs throughout the mining facility lifecycle.
The TON model also forecasts mining difficulty which considers the decreased mining revenue of mining machines over time. To reflect this, the network difficulty increases at a faster rate than the Bitcoin price increase. 
In TON's view of developing project models, a cashflow positive model must be achieved using a conservative Bitcoin price increase model to ensure resiliency for the mining facility through times of increase volatility. TON is able to adjust the model as time progresses to ensure a resilient decision making process including a miner upgrade prior to the Halvening event.
</t>
    </r>
    <r>
      <rPr>
        <b/>
        <sz val="11"/>
        <color theme="1"/>
        <rFont val="Calibri"/>
        <family val="2"/>
        <scheme val="minor"/>
      </rPr>
      <t xml:space="preserve">TON models, like any other forecast, are based on assumptions and speculation and are not to be taken as actual data. Bitcoin in particular experiences extreme volatility which can quickly cause the model to diverge from reality. External due diligence is required when interpreting and using TON models. </t>
    </r>
  </si>
  <si>
    <t>Axxela 10MW Project Model Overview</t>
  </si>
  <si>
    <t>3 year BTC</t>
  </si>
  <si>
    <t>Nat gas cost</t>
  </si>
  <si>
    <t>Genset payback</t>
  </si>
  <si>
    <t xml:space="preserve">Disclaimer:
TON models, like any other forecast, are based on assumptions and speculation and are not to be taken as actual data. 
Bitcoin in particular, experiences extreme volatility which can quickly cause the model to diverge from reality. 
External due diligence is required when interpreting and using TON models.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</si>
</sst>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4" formatCode="_(&quot;$&quot;* #,##0.00_);_(&quot;$&quot;* \(#,##0.00\);_(&quot;$&quot;* &quot;-&quot;??_);_(@_)"/>
    <numFmt numFmtId="164" formatCode="&quot;$&quot;#,##0.00;[Red]\-&quot;$&quot;#,##0.00"/>
    <numFmt numFmtId="165" formatCode="_-&quot;$&quot;* #,##0.00_-;\-&quot;$&quot;* #,##0.00_-;_-&quot;$&quot;* &quot;-&quot;??_-;_-@_-"/>
    <numFmt numFmtId="166" formatCode="_-* #,##0.00_-;\-* #,##0.00_-;_-* &quot;-&quot;??_-;_-@_-"/>
    <numFmt numFmtId="167" formatCode="_([$$-409]* #,##0.00_);_([$$-409]* \(#,##0.00\);_([$$-409]* &quot;-&quot;??_);_(@_)"/>
    <numFmt numFmtId="168" formatCode="_-* #,##0_-;\-* #,##0_-;_-* &quot;-&quot;??_-;_-@_-"/>
    <numFmt numFmtId="169" formatCode="0.0"/>
    <numFmt numFmtId="170" formatCode="&quot;$&quot;#,##0.00"/>
    <numFmt numFmtId="171" formatCode="_(* #,##0.000_);_(* \(#,##0.000\);_(* &quot;-&quot;???_);_(@_)"/>
    <numFmt numFmtId="172" formatCode="_-&quot;$&quot;* #,##0_-;\-&quot;$&quot;* #,##0_-;_-&quot;$&quot;* &quot;-&quot;??_-;_-@_-"/>
    <numFmt numFmtId="173" formatCode="_-[$$-409]* #,##0.00_ ;_-[$$-409]* \-#,##0.00\ ;_-[$$-409]* &quot;-&quot;??_ ;_-@_ "/>
    <numFmt numFmtId="174" formatCode="_-&quot;$&quot;* #,##0.000_-;\-&quot;$&quot;* #,##0.000_-;_-&quot;$&quot;* &quot;-&quot;??_-;_-@_-"/>
  </numFmts>
  <fonts count="24" x14ac:knownFonts="1">
    <font>
      <sz val="11"/>
      <color theme="1"/>
      <name val="Calibri"/>
      <family val="2"/>
      <scheme val="minor"/>
    </font>
    <font>
      <sz val="11"/>
      <color theme="1"/>
      <name val="Calibri"/>
      <family val="2"/>
      <scheme val="minor"/>
    </font>
    <font>
      <sz val="26"/>
      <color rgb="FFFFFFFF"/>
      <name val="Calibri"/>
      <family val="2"/>
      <scheme val="minor"/>
    </font>
    <font>
      <sz val="11"/>
      <color rgb="FF000000"/>
      <name val="Calibri"/>
      <family val="2"/>
      <scheme val="minor"/>
    </font>
    <font>
      <b/>
      <sz val="11"/>
      <color rgb="FFFFFFFF"/>
      <name val="Calibri"/>
      <family val="2"/>
      <scheme val="minor"/>
    </font>
    <font>
      <b/>
      <sz val="11"/>
      <color rgb="FF000000"/>
      <name val="Calibri"/>
      <family val="2"/>
      <scheme val="minor"/>
    </font>
    <font>
      <sz val="12"/>
      <color rgb="FF000000"/>
      <name val="Calibri"/>
      <family val="2"/>
      <scheme val="minor"/>
    </font>
    <font>
      <b/>
      <sz val="12"/>
      <color rgb="FF000000"/>
      <name val="Calibri"/>
      <family val="2"/>
      <scheme val="minor"/>
    </font>
    <font>
      <sz val="12"/>
      <color theme="1"/>
      <name val="Calibri"/>
      <family val="2"/>
      <scheme val="minor"/>
    </font>
    <font>
      <b/>
      <sz val="12"/>
      <color rgb="FFFFFFFF"/>
      <name val="Calibri"/>
      <family val="2"/>
      <scheme val="minor"/>
    </font>
    <font>
      <b/>
      <sz val="12"/>
      <name val="Calibri"/>
      <family val="2"/>
      <scheme val="minor"/>
    </font>
    <font>
      <b/>
      <sz val="12"/>
      <color theme="1"/>
      <name val="Calibri"/>
      <family val="2"/>
      <scheme val="minor"/>
    </font>
    <font>
      <sz val="11"/>
      <color rgb="FFFF0000"/>
      <name val="Calibri"/>
      <family val="2"/>
      <scheme val="minor"/>
    </font>
    <font>
      <sz val="12"/>
      <color theme="1"/>
      <name val="Aptos"/>
      <family val="2"/>
    </font>
    <font>
      <sz val="11"/>
      <color theme="0"/>
      <name val="Calibri"/>
      <family val="2"/>
      <scheme val="minor"/>
    </font>
    <font>
      <sz val="12"/>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b/>
      <sz val="12"/>
      <color theme="1"/>
      <name val="Aptos"/>
      <family val="2"/>
    </font>
    <font>
      <sz val="12"/>
      <color rgb="FFFF0000"/>
      <name val="Calibri"/>
      <family val="2"/>
      <scheme val="minor"/>
    </font>
    <font>
      <sz val="10"/>
      <name val="Arial"/>
      <family val="2"/>
    </font>
    <font>
      <sz val="36"/>
      <color theme="1"/>
      <name val="Calibri"/>
      <family val="2"/>
      <scheme val="minor"/>
    </font>
  </fonts>
  <fills count="12">
    <fill>
      <patternFill patternType="none"/>
    </fill>
    <fill>
      <patternFill patternType="gray125"/>
    </fill>
    <fill>
      <patternFill patternType="solid">
        <fgColor rgb="FF4472C4"/>
        <bgColor rgb="FF000000"/>
      </patternFill>
    </fill>
    <fill>
      <patternFill patternType="solid">
        <fgColor rgb="FF8EA9DB"/>
        <bgColor rgb="FF000000"/>
      </patternFill>
    </fill>
    <fill>
      <patternFill patternType="solid">
        <fgColor rgb="FFD9E1F2"/>
        <bgColor rgb="FF000000"/>
      </patternFill>
    </fill>
    <fill>
      <patternFill patternType="solid">
        <fgColor rgb="FFFFFF00"/>
        <bgColor rgb="FF000000"/>
      </patternFill>
    </fill>
    <fill>
      <patternFill patternType="solid">
        <fgColor theme="9"/>
        <bgColor indexed="64"/>
      </patternFill>
    </fill>
    <fill>
      <patternFill patternType="solid">
        <fgColor rgb="FFFFFF00"/>
        <bgColor indexed="64"/>
      </patternFill>
    </fill>
    <fill>
      <patternFill patternType="solid">
        <fgColor theme="1"/>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4"/>
        <bgColor indexed="64"/>
      </patternFill>
    </fill>
  </fills>
  <borders count="70">
    <border>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style="medium">
        <color indexed="64"/>
      </left>
      <right/>
      <top/>
      <bottom style="medium">
        <color indexed="64"/>
      </bottom>
      <diagonal/>
    </border>
    <border>
      <left style="medium">
        <color indexed="64"/>
      </left>
      <right/>
      <top/>
      <bottom/>
      <diagonal/>
    </border>
    <border>
      <left style="medium">
        <color indexed="64"/>
      </left>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style="thin">
        <color indexed="64"/>
      </top>
      <bottom/>
      <diagonal/>
    </border>
    <border>
      <left/>
      <right/>
      <top style="thin">
        <color indexed="64"/>
      </top>
      <bottom style="thin">
        <color indexed="64"/>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style="medium">
        <color rgb="FF000000"/>
      </left>
      <right/>
      <top style="thin">
        <color indexed="64"/>
      </top>
      <bottom style="thin">
        <color indexed="64"/>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medium">
        <color indexed="64"/>
      </top>
      <bottom style="medium">
        <color rgb="FF000000"/>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diagonal/>
    </border>
  </borders>
  <cellStyleXfs count="9">
    <xf numFmtId="0" fontId="0" fillId="0" borderId="0"/>
    <xf numFmtId="165" fontId="1" fillId="0" borderId="0" applyFont="0" applyFill="0" applyBorder="0" applyAlignment="0" applyProtection="0"/>
    <xf numFmtId="166" fontId="1" fillId="0" borderId="0" applyFont="0" applyFill="0" applyBorder="0" applyAlignment="0" applyProtection="0"/>
    <xf numFmtId="9" fontId="1" fillId="0" borderId="0" applyFont="0" applyFill="0" applyBorder="0" applyAlignment="0" applyProtection="0"/>
    <xf numFmtId="0" fontId="1" fillId="0" borderId="0"/>
    <xf numFmtId="0" fontId="22" fillId="0" borderId="0"/>
    <xf numFmtId="166"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cellStyleXfs>
  <cellXfs count="322">
    <xf numFmtId="0" fontId="0" fillId="0" borderId="0" xfId="0"/>
    <xf numFmtId="0" fontId="3" fillId="0" borderId="0" xfId="0" applyFont="1"/>
    <xf numFmtId="0" fontId="4" fillId="2" borderId="11" xfId="0" applyFont="1" applyFill="1" applyBorder="1"/>
    <xf numFmtId="0" fontId="4" fillId="2" borderId="12" xfId="0" applyFont="1" applyFill="1" applyBorder="1" applyAlignment="1">
      <alignment horizontal="center"/>
    </xf>
    <xf numFmtId="0" fontId="3" fillId="0" borderId="0" xfId="0" applyFont="1" applyAlignment="1">
      <alignment horizontal="left" indent="2"/>
    </xf>
    <xf numFmtId="0" fontId="6" fillId="0" borderId="0" xfId="0" applyFont="1"/>
    <xf numFmtId="0" fontId="3" fillId="0" borderId="1" xfId="0" applyFont="1" applyBorder="1"/>
    <xf numFmtId="164" fontId="5" fillId="0" borderId="14" xfId="0" applyNumberFormat="1" applyFont="1" applyBorder="1"/>
    <xf numFmtId="165" fontId="6" fillId="0" borderId="0" xfId="1" applyFont="1" applyBorder="1"/>
    <xf numFmtId="0" fontId="6" fillId="0" borderId="17" xfId="0" applyFont="1" applyBorder="1" applyAlignment="1">
      <alignment horizontal="left" indent="2"/>
    </xf>
    <xf numFmtId="0" fontId="6" fillId="0" borderId="17" xfId="0" applyFont="1" applyBorder="1" applyAlignment="1">
      <alignment horizontal="left" indent="1"/>
    </xf>
    <xf numFmtId="0" fontId="4" fillId="2" borderId="19" xfId="0" applyFont="1" applyFill="1" applyBorder="1"/>
    <xf numFmtId="0" fontId="4" fillId="2" borderId="20" xfId="0" applyFont="1" applyFill="1" applyBorder="1" applyAlignment="1">
      <alignment horizontal="center"/>
    </xf>
    <xf numFmtId="167" fontId="0" fillId="0" borderId="0" xfId="0" applyNumberFormat="1"/>
    <xf numFmtId="44" fontId="0" fillId="0" borderId="0" xfId="0" applyNumberFormat="1"/>
    <xf numFmtId="2" fontId="0" fillId="0" borderId="0" xfId="0" applyNumberFormat="1"/>
    <xf numFmtId="165" fontId="6" fillId="0" borderId="0" xfId="1" applyFont="1"/>
    <xf numFmtId="165" fontId="6" fillId="0" borderId="27" xfId="1" applyFont="1" applyBorder="1"/>
    <xf numFmtId="165" fontId="6" fillId="3" borderId="28" xfId="1" applyFont="1" applyFill="1" applyBorder="1"/>
    <xf numFmtId="165" fontId="6" fillId="3" borderId="14" xfId="1" applyFont="1" applyFill="1" applyBorder="1"/>
    <xf numFmtId="165" fontId="6" fillId="4" borderId="27" xfId="1" applyFont="1" applyFill="1" applyBorder="1"/>
    <xf numFmtId="165" fontId="6" fillId="4" borderId="0" xfId="1" applyFont="1" applyFill="1"/>
    <xf numFmtId="165" fontId="6" fillId="4" borderId="0" xfId="1" applyFont="1" applyFill="1" applyBorder="1"/>
    <xf numFmtId="165" fontId="6" fillId="0" borderId="27" xfId="1" applyFont="1" applyBorder="1" applyAlignment="1">
      <alignment horizontal="right" vertical="center"/>
    </xf>
    <xf numFmtId="165" fontId="7" fillId="0" borderId="28" xfId="1" applyFont="1" applyBorder="1"/>
    <xf numFmtId="0" fontId="9" fillId="2" borderId="22" xfId="0" applyFont="1" applyFill="1" applyBorder="1"/>
    <xf numFmtId="165" fontId="9" fillId="2" borderId="23" xfId="1" applyFont="1" applyFill="1" applyBorder="1" applyAlignment="1">
      <alignment horizontal="center"/>
    </xf>
    <xf numFmtId="0" fontId="8" fillId="0" borderId="0" xfId="0" applyFont="1"/>
    <xf numFmtId="0" fontId="9" fillId="2" borderId="24" xfId="0" applyFont="1" applyFill="1" applyBorder="1"/>
    <xf numFmtId="165" fontId="9" fillId="2" borderId="25" xfId="1" applyFont="1" applyFill="1" applyBorder="1" applyAlignment="1">
      <alignment horizontal="center"/>
    </xf>
    <xf numFmtId="0" fontId="9" fillId="2" borderId="6" xfId="0" applyFont="1" applyFill="1" applyBorder="1"/>
    <xf numFmtId="165" fontId="9" fillId="2" borderId="9" xfId="1" applyFont="1" applyFill="1" applyBorder="1" applyAlignment="1">
      <alignment horizontal="center"/>
    </xf>
    <xf numFmtId="0" fontId="9" fillId="2" borderId="5" xfId="0" applyFont="1" applyFill="1" applyBorder="1" applyAlignment="1">
      <alignment horizontal="center"/>
    </xf>
    <xf numFmtId="0" fontId="10" fillId="0" borderId="30" xfId="0" applyFont="1" applyBorder="1"/>
    <xf numFmtId="0" fontId="9" fillId="2" borderId="15" xfId="0" applyFont="1" applyFill="1" applyBorder="1"/>
    <xf numFmtId="165" fontId="9" fillId="2" borderId="26" xfId="1" applyFont="1" applyFill="1" applyBorder="1" applyAlignment="1">
      <alignment horizontal="center"/>
    </xf>
    <xf numFmtId="165" fontId="9" fillId="2" borderId="16" xfId="1" applyFont="1" applyFill="1" applyBorder="1" applyAlignment="1">
      <alignment horizontal="center"/>
    </xf>
    <xf numFmtId="0" fontId="7" fillId="3" borderId="18" xfId="0" applyFont="1" applyFill="1" applyBorder="1" applyAlignment="1">
      <alignment horizontal="left"/>
    </xf>
    <xf numFmtId="0" fontId="7" fillId="4" borderId="17" xfId="0" applyFont="1" applyFill="1" applyBorder="1" applyAlignment="1">
      <alignment horizontal="left" indent="1"/>
    </xf>
    <xf numFmtId="0" fontId="7" fillId="0" borderId="18" xfId="0" applyFont="1" applyBorder="1" applyAlignment="1">
      <alignment horizontal="left" indent="2"/>
    </xf>
    <xf numFmtId="2" fontId="10" fillId="0" borderId="30" xfId="0" applyNumberFormat="1" applyFont="1" applyBorder="1"/>
    <xf numFmtId="165" fontId="6" fillId="0" borderId="30" xfId="1" applyFont="1" applyBorder="1"/>
    <xf numFmtId="165" fontId="7" fillId="0" borderId="30" xfId="1" applyFont="1" applyBorder="1" applyAlignment="1">
      <alignment horizontal="center" vertical="center"/>
    </xf>
    <xf numFmtId="0" fontId="6" fillId="0" borderId="31" xfId="0" applyFont="1" applyBorder="1" applyAlignment="1">
      <alignment horizontal="left" indent="2"/>
    </xf>
    <xf numFmtId="165" fontId="6" fillId="0" borderId="31" xfId="1" applyFont="1" applyBorder="1"/>
    <xf numFmtId="2" fontId="6" fillId="0" borderId="31" xfId="1" applyNumberFormat="1" applyFont="1" applyBorder="1" applyAlignment="1">
      <alignment horizontal="center" vertical="center"/>
    </xf>
    <xf numFmtId="0" fontId="7" fillId="3" borderId="3" xfId="0" applyFont="1" applyFill="1" applyBorder="1"/>
    <xf numFmtId="165" fontId="6" fillId="3" borderId="4" xfId="1" applyFont="1" applyFill="1" applyBorder="1"/>
    <xf numFmtId="0" fontId="6" fillId="0" borderId="31" xfId="0" applyFont="1" applyBorder="1" applyAlignment="1">
      <alignment horizontal="left" indent="1"/>
    </xf>
    <xf numFmtId="165" fontId="6" fillId="0" borderId="30" xfId="1" applyFont="1" applyBorder="1" applyAlignment="1">
      <alignment horizontal="left" indent="1"/>
    </xf>
    <xf numFmtId="165" fontId="7" fillId="0" borderId="30" xfId="1" applyFont="1" applyBorder="1" applyAlignment="1">
      <alignment horizontal="left" indent="1"/>
    </xf>
    <xf numFmtId="0" fontId="9" fillId="2" borderId="24" xfId="0" applyFont="1" applyFill="1" applyBorder="1" applyAlignment="1">
      <alignment horizontal="left"/>
    </xf>
    <xf numFmtId="0" fontId="9" fillId="2" borderId="21" xfId="0" applyFont="1" applyFill="1" applyBorder="1" applyAlignment="1">
      <alignment horizontal="left"/>
    </xf>
    <xf numFmtId="0" fontId="9" fillId="2" borderId="7" xfId="0" applyFont="1" applyFill="1" applyBorder="1" applyAlignment="1">
      <alignment horizontal="left"/>
    </xf>
    <xf numFmtId="0" fontId="11" fillId="0" borderId="0" xfId="0" applyFont="1"/>
    <xf numFmtId="168" fontId="11" fillId="0" borderId="0" xfId="2" applyNumberFormat="1" applyFont="1"/>
    <xf numFmtId="0" fontId="9" fillId="2" borderId="22" xfId="0" applyFont="1" applyFill="1" applyBorder="1" applyAlignment="1">
      <alignment horizontal="center"/>
    </xf>
    <xf numFmtId="168" fontId="11" fillId="0" borderId="0" xfId="2" applyNumberFormat="1" applyFont="1" applyAlignment="1">
      <alignment horizontal="center"/>
    </xf>
    <xf numFmtId="165" fontId="11" fillId="0" borderId="0" xfId="1" applyFont="1" applyAlignment="1">
      <alignment horizontal="center"/>
    </xf>
    <xf numFmtId="165" fontId="6" fillId="0" borderId="7" xfId="1" applyFont="1" applyBorder="1" applyAlignment="1">
      <alignment horizontal="right" vertical="center"/>
    </xf>
    <xf numFmtId="165" fontId="7" fillId="0" borderId="29" xfId="1" applyFont="1" applyBorder="1"/>
    <xf numFmtId="165" fontId="6" fillId="0" borderId="0" xfId="1" applyFont="1" applyBorder="1" applyAlignment="1">
      <alignment horizontal="right" vertical="center"/>
    </xf>
    <xf numFmtId="0" fontId="7" fillId="4" borderId="3" xfId="0" applyFont="1" applyFill="1" applyBorder="1" applyAlignment="1">
      <alignment horizontal="left" indent="1"/>
    </xf>
    <xf numFmtId="165" fontId="6" fillId="4" borderId="4" xfId="1" applyFont="1" applyFill="1" applyBorder="1"/>
    <xf numFmtId="165" fontId="6" fillId="0" borderId="26" xfId="1" applyFont="1" applyBorder="1"/>
    <xf numFmtId="169" fontId="4" fillId="2" borderId="12" xfId="0" applyNumberFormat="1" applyFont="1" applyFill="1" applyBorder="1" applyAlignment="1">
      <alignment horizontal="center"/>
    </xf>
    <xf numFmtId="0" fontId="3" fillId="0" borderId="33" xfId="0" applyFont="1" applyBorder="1"/>
    <xf numFmtId="0" fontId="6" fillId="0" borderId="8" xfId="0" applyFont="1" applyBorder="1" applyAlignment="1">
      <alignment horizontal="left"/>
    </xf>
    <xf numFmtId="0" fontId="7" fillId="0" borderId="38" xfId="0" applyFont="1" applyBorder="1" applyAlignment="1">
      <alignment horizontal="left" indent="2"/>
    </xf>
    <xf numFmtId="165" fontId="7" fillId="0" borderId="39" xfId="1" applyFont="1" applyBorder="1"/>
    <xf numFmtId="165" fontId="7" fillId="0" borderId="40" xfId="1" applyFont="1" applyBorder="1"/>
    <xf numFmtId="0" fontId="12" fillId="7" borderId="0" xfId="0" applyFont="1" applyFill="1"/>
    <xf numFmtId="0" fontId="5" fillId="3" borderId="35" xfId="0" applyFont="1" applyFill="1" applyBorder="1"/>
    <xf numFmtId="0" fontId="5" fillId="0" borderId="41" xfId="0" applyFont="1" applyBorder="1" applyAlignment="1">
      <alignment horizontal="left" indent="2"/>
    </xf>
    <xf numFmtId="0" fontId="5" fillId="4" borderId="7" xfId="0" applyFont="1" applyFill="1" applyBorder="1" applyAlignment="1">
      <alignment horizontal="left" indent="1"/>
    </xf>
    <xf numFmtId="0" fontId="5" fillId="0" borderId="32" xfId="0" applyFont="1" applyBorder="1" applyAlignment="1">
      <alignment horizontal="left" indent="2"/>
    </xf>
    <xf numFmtId="0" fontId="5" fillId="4" borderId="32" xfId="0" applyFont="1" applyFill="1" applyBorder="1" applyAlignment="1">
      <alignment horizontal="left" indent="1"/>
    </xf>
    <xf numFmtId="0" fontId="5" fillId="0" borderId="38" xfId="0" applyFont="1" applyBorder="1" applyAlignment="1">
      <alignment horizontal="left" indent="2"/>
    </xf>
    <xf numFmtId="164" fontId="5" fillId="0" borderId="39" xfId="0" applyNumberFormat="1" applyFont="1" applyBorder="1"/>
    <xf numFmtId="164" fontId="5" fillId="0" borderId="40" xfId="0" applyNumberFormat="1" applyFont="1" applyBorder="1"/>
    <xf numFmtId="0" fontId="4" fillId="2" borderId="22" xfId="0" applyFont="1" applyFill="1" applyBorder="1"/>
    <xf numFmtId="165" fontId="4" fillId="2" borderId="23" xfId="1" applyFont="1" applyFill="1" applyBorder="1" applyAlignment="1">
      <alignment horizontal="center"/>
    </xf>
    <xf numFmtId="0" fontId="4" fillId="2" borderId="24" xfId="0" applyFont="1" applyFill="1" applyBorder="1"/>
    <xf numFmtId="165" fontId="4" fillId="2" borderId="25" xfId="1" applyFont="1" applyFill="1" applyBorder="1" applyAlignment="1">
      <alignment horizontal="center"/>
    </xf>
    <xf numFmtId="0" fontId="4" fillId="2" borderId="6" xfId="0" applyFont="1" applyFill="1" applyBorder="1"/>
    <xf numFmtId="165" fontId="4" fillId="2" borderId="9" xfId="1" applyFont="1" applyFill="1" applyBorder="1" applyAlignment="1">
      <alignment horizontal="center"/>
    </xf>
    <xf numFmtId="0" fontId="4" fillId="2" borderId="8" xfId="0" applyFont="1" applyFill="1" applyBorder="1"/>
    <xf numFmtId="0" fontId="4" fillId="2" borderId="5" xfId="0" applyFont="1" applyFill="1" applyBorder="1"/>
    <xf numFmtId="0" fontId="4" fillId="2" borderId="44" xfId="0" applyFont="1" applyFill="1" applyBorder="1"/>
    <xf numFmtId="0" fontId="5" fillId="3" borderId="45" xfId="0" applyFont="1" applyFill="1" applyBorder="1" applyAlignment="1">
      <alignment horizontal="left"/>
    </xf>
    <xf numFmtId="0" fontId="5" fillId="0" borderId="38" xfId="0" applyFont="1" applyBorder="1" applyAlignment="1">
      <alignment horizontal="left"/>
    </xf>
    <xf numFmtId="0" fontId="3" fillId="3" borderId="36" xfId="0" applyFont="1" applyFill="1" applyBorder="1"/>
    <xf numFmtId="0" fontId="3" fillId="3" borderId="37" xfId="0" applyFont="1" applyFill="1" applyBorder="1"/>
    <xf numFmtId="0" fontId="3" fillId="0" borderId="7" xfId="0" applyFont="1" applyBorder="1" applyAlignment="1">
      <alignment horizontal="left" indent="2"/>
    </xf>
    <xf numFmtId="2" fontId="3" fillId="0" borderId="10" xfId="0" applyNumberFormat="1" applyFont="1" applyBorder="1" applyAlignment="1">
      <alignment horizontal="right"/>
    </xf>
    <xf numFmtId="0" fontId="3" fillId="0" borderId="13" xfId="0" applyFont="1" applyBorder="1"/>
    <xf numFmtId="2" fontId="5" fillId="0" borderId="13" xfId="0" applyNumberFormat="1" applyFont="1" applyBorder="1" applyAlignment="1">
      <alignment horizontal="right" vertical="center"/>
    </xf>
    <xf numFmtId="2" fontId="5" fillId="0" borderId="42" xfId="0" applyNumberFormat="1" applyFont="1" applyBorder="1" applyAlignment="1">
      <alignment horizontal="right" vertical="center"/>
    </xf>
    <xf numFmtId="0" fontId="3" fillId="0" borderId="39" xfId="0" applyFont="1" applyBorder="1"/>
    <xf numFmtId="165" fontId="3" fillId="0" borderId="39" xfId="1" applyFont="1" applyBorder="1"/>
    <xf numFmtId="165" fontId="3" fillId="0" borderId="40" xfId="1" applyFont="1" applyBorder="1"/>
    <xf numFmtId="0" fontId="3" fillId="3" borderId="46" xfId="0" applyFont="1" applyFill="1" applyBorder="1"/>
    <xf numFmtId="0" fontId="3" fillId="3" borderId="47" xfId="0" applyFont="1" applyFill="1" applyBorder="1"/>
    <xf numFmtId="0" fontId="3" fillId="4" borderId="10" xfId="0" applyFont="1" applyFill="1" applyBorder="1"/>
    <xf numFmtId="0" fontId="3" fillId="0" borderId="10" xfId="0" applyFont="1" applyBorder="1"/>
    <xf numFmtId="0" fontId="3" fillId="0" borderId="14" xfId="0" applyFont="1" applyBorder="1"/>
    <xf numFmtId="0" fontId="3" fillId="0" borderId="43" xfId="0" applyFont="1" applyBorder="1"/>
    <xf numFmtId="0" fontId="3" fillId="0" borderId="7" xfId="0" applyFont="1" applyBorder="1" applyAlignment="1">
      <alignment horizontal="left" indent="1"/>
    </xf>
    <xf numFmtId="0" fontId="3" fillId="4" borderId="14" xfId="0" applyFont="1" applyFill="1" applyBorder="1"/>
    <xf numFmtId="0" fontId="3" fillId="4" borderId="43" xfId="0" applyFont="1" applyFill="1" applyBorder="1"/>
    <xf numFmtId="165" fontId="3" fillId="0" borderId="0" xfId="1" applyFont="1" applyBorder="1"/>
    <xf numFmtId="165" fontId="3" fillId="0" borderId="10" xfId="1" applyFont="1" applyBorder="1"/>
    <xf numFmtId="169" fontId="10" fillId="0" borderId="30" xfId="0" applyNumberFormat="1" applyFont="1" applyBorder="1"/>
    <xf numFmtId="1" fontId="10" fillId="0" borderId="30" xfId="0" applyNumberFormat="1" applyFont="1" applyBorder="1"/>
    <xf numFmtId="2" fontId="6" fillId="0" borderId="27" xfId="1" applyNumberFormat="1" applyFont="1" applyBorder="1"/>
    <xf numFmtId="0" fontId="5" fillId="3" borderId="51" xfId="0" applyFont="1" applyFill="1" applyBorder="1" applyAlignment="1">
      <alignment horizontal="center"/>
    </xf>
    <xf numFmtId="0" fontId="5" fillId="3" borderId="52" xfId="0" applyFont="1" applyFill="1" applyBorder="1" applyAlignment="1">
      <alignment horizontal="center"/>
    </xf>
    <xf numFmtId="0" fontId="5" fillId="3" borderId="53" xfId="0" applyFont="1" applyFill="1" applyBorder="1"/>
    <xf numFmtId="169" fontId="3" fillId="0" borderId="34" xfId="0" applyNumberFormat="1" applyFont="1" applyBorder="1"/>
    <xf numFmtId="0" fontId="3" fillId="0" borderId="34" xfId="0" applyFont="1" applyBorder="1"/>
    <xf numFmtId="0" fontId="3" fillId="0" borderId="53" xfId="0" applyFont="1" applyBorder="1"/>
    <xf numFmtId="0" fontId="5" fillId="3" borderId="1" xfId="0" applyFont="1" applyFill="1" applyBorder="1" applyAlignment="1">
      <alignment horizontal="center"/>
    </xf>
    <xf numFmtId="168" fontId="3" fillId="0" borderId="2" xfId="2" applyNumberFormat="1" applyFont="1" applyBorder="1"/>
    <xf numFmtId="9" fontId="6" fillId="0" borderId="30" xfId="1" applyNumberFormat="1" applyFont="1" applyBorder="1"/>
    <xf numFmtId="167" fontId="6" fillId="0" borderId="27" xfId="1" applyNumberFormat="1" applyFont="1" applyBorder="1" applyAlignment="1">
      <alignment horizontal="right" vertical="center"/>
    </xf>
    <xf numFmtId="165" fontId="6" fillId="6" borderId="30" xfId="1" applyFont="1" applyFill="1" applyBorder="1"/>
    <xf numFmtId="165" fontId="7" fillId="0" borderId="30" xfId="1" applyFont="1" applyBorder="1" applyAlignment="1">
      <alignment horizontal="left" wrapText="1" indent="2"/>
    </xf>
    <xf numFmtId="165" fontId="7" fillId="0" borderId="0" xfId="1" applyFont="1" applyBorder="1" applyAlignment="1">
      <alignment horizontal="left" indent="2"/>
    </xf>
    <xf numFmtId="165" fontId="7" fillId="0" borderId="0" xfId="1" applyFont="1" applyBorder="1" applyAlignment="1">
      <alignment horizontal="center" vertical="center"/>
    </xf>
    <xf numFmtId="165" fontId="6" fillId="0" borderId="30" xfId="1" applyFont="1" applyBorder="1" applyAlignment="1">
      <alignment horizontal="center" vertical="center"/>
    </xf>
    <xf numFmtId="165" fontId="6" fillId="0" borderId="30" xfId="1" applyFont="1" applyBorder="1" applyAlignment="1">
      <alignment horizontal="left" indent="2"/>
    </xf>
    <xf numFmtId="9" fontId="7" fillId="0" borderId="30" xfId="3" applyFont="1" applyBorder="1" applyAlignment="1">
      <alignment horizontal="center" vertical="center" wrapText="1"/>
    </xf>
    <xf numFmtId="165" fontId="7" fillId="0" borderId="0" xfId="1" applyFont="1" applyFill="1" applyBorder="1" applyAlignment="1">
      <alignment horizontal="left" indent="1"/>
    </xf>
    <xf numFmtId="0" fontId="13" fillId="0" borderId="0" xfId="0" applyFont="1" applyAlignment="1">
      <alignment horizontal="left" vertical="center" indent="1"/>
    </xf>
    <xf numFmtId="0" fontId="13" fillId="0" borderId="0" xfId="0" applyFont="1" applyAlignment="1">
      <alignment horizontal="left" vertical="center" indent="2"/>
    </xf>
    <xf numFmtId="0" fontId="13" fillId="0" borderId="0" xfId="0" applyFont="1" applyAlignment="1">
      <alignment horizontal="left" vertical="center" indent="3"/>
    </xf>
    <xf numFmtId="0" fontId="0" fillId="0" borderId="0" xfId="0" applyAlignment="1">
      <alignment horizontal="left"/>
    </xf>
    <xf numFmtId="0" fontId="0" fillId="0" borderId="0" xfId="0" applyAlignment="1">
      <alignment horizontal="center"/>
    </xf>
    <xf numFmtId="165" fontId="0" fillId="0" borderId="0" xfId="1" applyFont="1"/>
    <xf numFmtId="165" fontId="15" fillId="0" borderId="27" xfId="1" applyFont="1" applyBorder="1" applyAlignment="1">
      <alignment horizontal="right" vertical="center"/>
    </xf>
    <xf numFmtId="0" fontId="14" fillId="8" borderId="0" xfId="0" quotePrefix="1" applyFont="1" applyFill="1" applyAlignment="1">
      <alignment horizontal="right"/>
    </xf>
    <xf numFmtId="0" fontId="14" fillId="8" borderId="0" xfId="0" applyFont="1" applyFill="1"/>
    <xf numFmtId="167" fontId="14" fillId="8" borderId="0" xfId="0" applyNumberFormat="1" applyFont="1" applyFill="1"/>
    <xf numFmtId="0" fontId="14" fillId="9" borderId="0" xfId="0" applyFont="1" applyFill="1"/>
    <xf numFmtId="167" fontId="14" fillId="9" borderId="0" xfId="0" applyNumberFormat="1" applyFont="1" applyFill="1"/>
    <xf numFmtId="165" fontId="14" fillId="8" borderId="0" xfId="1" applyFont="1" applyFill="1"/>
    <xf numFmtId="165" fontId="14" fillId="9" borderId="0" xfId="1" applyFont="1" applyFill="1"/>
    <xf numFmtId="2" fontId="3" fillId="0" borderId="0" xfId="0" applyNumberFormat="1" applyFont="1" applyAlignment="1">
      <alignment horizontal="right"/>
    </xf>
    <xf numFmtId="0" fontId="3" fillId="4" borderId="0" xfId="0" applyFont="1" applyFill="1"/>
    <xf numFmtId="164" fontId="3" fillId="0" borderId="0" xfId="0" applyNumberFormat="1" applyFont="1"/>
    <xf numFmtId="164" fontId="3" fillId="0" borderId="0" xfId="0" applyNumberFormat="1" applyFont="1" applyAlignment="1">
      <alignment horizontal="right" vertical="center"/>
    </xf>
    <xf numFmtId="0" fontId="10" fillId="5" borderId="44" xfId="0" applyFont="1" applyFill="1" applyBorder="1" applyAlignment="1">
      <alignment horizontal="center"/>
    </xf>
    <xf numFmtId="0" fontId="10" fillId="0" borderId="54" xfId="0" applyFont="1" applyBorder="1"/>
    <xf numFmtId="0" fontId="9" fillId="2" borderId="44" xfId="0" applyFont="1" applyFill="1" applyBorder="1" applyAlignment="1">
      <alignment horizontal="center"/>
    </xf>
    <xf numFmtId="2" fontId="10" fillId="0" borderId="54" xfId="0" applyNumberFormat="1" applyFont="1" applyBorder="1"/>
    <xf numFmtId="0" fontId="10" fillId="0" borderId="2" xfId="0" applyFont="1" applyBorder="1"/>
    <xf numFmtId="0" fontId="8" fillId="0" borderId="0" xfId="0" applyFont="1" applyAlignment="1">
      <alignment horizontal="center"/>
    </xf>
    <xf numFmtId="170" fontId="0" fillId="0" borderId="0" xfId="0" applyNumberFormat="1"/>
    <xf numFmtId="9" fontId="0" fillId="0" borderId="0" xfId="0" applyNumberFormat="1"/>
    <xf numFmtId="0" fontId="19" fillId="0" borderId="0" xfId="0" applyFont="1" applyAlignment="1">
      <alignment horizontal="center"/>
    </xf>
    <xf numFmtId="165" fontId="19" fillId="0" borderId="0" xfId="1" applyFont="1"/>
    <xf numFmtId="0" fontId="20" fillId="0" borderId="0" xfId="0" applyFont="1" applyAlignment="1">
      <alignment horizontal="left" vertical="center" indent="1"/>
    </xf>
    <xf numFmtId="171" fontId="3" fillId="0" borderId="2" xfId="0" applyNumberFormat="1" applyFont="1" applyBorder="1"/>
    <xf numFmtId="9" fontId="21" fillId="7" borderId="30" xfId="1" applyNumberFormat="1" applyFont="1" applyFill="1" applyBorder="1" applyAlignment="1">
      <alignment horizontal="center"/>
    </xf>
    <xf numFmtId="9" fontId="19" fillId="0" borderId="0" xfId="0" applyNumberFormat="1" applyFont="1" applyAlignment="1">
      <alignment horizontal="center"/>
    </xf>
    <xf numFmtId="169" fontId="10" fillId="10" borderId="30" xfId="0" applyNumberFormat="1" applyFont="1" applyFill="1" applyBorder="1"/>
    <xf numFmtId="17" fontId="8" fillId="0" borderId="0" xfId="0" applyNumberFormat="1" applyFont="1"/>
    <xf numFmtId="165" fontId="7" fillId="0" borderId="38" xfId="1" applyFont="1" applyBorder="1"/>
    <xf numFmtId="165" fontId="6" fillId="0" borderId="55" xfId="1" applyFont="1" applyBorder="1"/>
    <xf numFmtId="0" fontId="9" fillId="2" borderId="3" xfId="0" applyFont="1" applyFill="1" applyBorder="1" applyAlignment="1">
      <alignment horizontal="left"/>
    </xf>
    <xf numFmtId="0" fontId="9" fillId="2" borderId="8" xfId="0" applyFont="1" applyFill="1" applyBorder="1" applyAlignment="1">
      <alignment horizontal="center"/>
    </xf>
    <xf numFmtId="0" fontId="10" fillId="0" borderId="33" xfId="0" applyFont="1" applyBorder="1"/>
    <xf numFmtId="1" fontId="10" fillId="0" borderId="33" xfId="0" applyNumberFormat="1" applyFont="1" applyBorder="1"/>
    <xf numFmtId="2" fontId="10" fillId="0" borderId="33" xfId="0" applyNumberFormat="1" applyFont="1" applyBorder="1"/>
    <xf numFmtId="169" fontId="10" fillId="10" borderId="33" xfId="0" applyNumberFormat="1" applyFont="1" applyFill="1" applyBorder="1"/>
    <xf numFmtId="2" fontId="7" fillId="0" borderId="30" xfId="1" applyNumberFormat="1" applyFont="1" applyBorder="1" applyAlignment="1">
      <alignment horizontal="center" vertical="center"/>
    </xf>
    <xf numFmtId="9" fontId="7" fillId="0" borderId="56" xfId="3" applyFont="1" applyBorder="1" applyAlignment="1">
      <alignment horizontal="center" vertical="center" wrapText="1"/>
    </xf>
    <xf numFmtId="2" fontId="7" fillId="0" borderId="56" xfId="1" applyNumberFormat="1" applyFont="1" applyBorder="1" applyAlignment="1">
      <alignment horizontal="center" vertical="center"/>
    </xf>
    <xf numFmtId="165" fontId="7" fillId="0" borderId="58" xfId="1" applyFont="1" applyBorder="1" applyAlignment="1">
      <alignment horizontal="center" vertical="center"/>
    </xf>
    <xf numFmtId="165" fontId="7" fillId="0" borderId="59" xfId="1" applyFont="1" applyBorder="1" applyAlignment="1">
      <alignment horizontal="center" vertical="center"/>
    </xf>
    <xf numFmtId="0" fontId="0" fillId="7" borderId="0" xfId="0" applyFill="1"/>
    <xf numFmtId="0" fontId="0" fillId="0" borderId="0" xfId="0" quotePrefix="1"/>
    <xf numFmtId="0" fontId="6" fillId="0" borderId="62" xfId="0" applyFont="1" applyBorder="1" applyAlignment="1">
      <alignment horizontal="left" indent="2"/>
    </xf>
    <xf numFmtId="1" fontId="6" fillId="0" borderId="61" xfId="1" applyNumberFormat="1" applyFont="1" applyBorder="1" applyAlignment="1">
      <alignment horizontal="center" vertical="center"/>
    </xf>
    <xf numFmtId="1" fontId="6" fillId="0" borderId="31" xfId="1" applyNumberFormat="1" applyFont="1" applyBorder="1" applyAlignment="1">
      <alignment horizontal="center" vertical="center"/>
    </xf>
    <xf numFmtId="165" fontId="6" fillId="0" borderId="62" xfId="1" applyFont="1" applyBorder="1" applyAlignment="1">
      <alignment horizontal="left" indent="1"/>
    </xf>
    <xf numFmtId="165" fontId="6" fillId="0" borderId="61" xfId="1" applyFont="1" applyBorder="1" applyAlignment="1">
      <alignment horizontal="center" vertical="center"/>
    </xf>
    <xf numFmtId="165" fontId="6" fillId="0" borderId="31" xfId="1" applyFont="1" applyBorder="1" applyAlignment="1">
      <alignment horizontal="center" vertical="center"/>
    </xf>
    <xf numFmtId="1" fontId="10" fillId="0" borderId="1" xfId="0" applyNumberFormat="1" applyFont="1" applyBorder="1"/>
    <xf numFmtId="165" fontId="7" fillId="0" borderId="0" xfId="1" applyFont="1" applyAlignment="1">
      <alignment horizontal="center" vertical="center"/>
    </xf>
    <xf numFmtId="165" fontId="7" fillId="0" borderId="6" xfId="1" applyFont="1" applyBorder="1" applyAlignment="1">
      <alignment horizontal="left" indent="1"/>
    </xf>
    <xf numFmtId="9" fontId="7" fillId="0" borderId="0" xfId="3" applyFont="1" applyBorder="1" applyAlignment="1">
      <alignment horizontal="center" vertical="center"/>
    </xf>
    <xf numFmtId="165" fontId="0" fillId="0" borderId="0" xfId="0" applyNumberFormat="1"/>
    <xf numFmtId="173" fontId="0" fillId="0" borderId="0" xfId="0" applyNumberFormat="1"/>
    <xf numFmtId="2" fontId="6" fillId="0" borderId="30" xfId="1" applyNumberFormat="1" applyFont="1" applyBorder="1" applyAlignment="1">
      <alignment horizontal="center" vertical="center"/>
    </xf>
    <xf numFmtId="17" fontId="21" fillId="7" borderId="0" xfId="0" applyNumberFormat="1" applyFont="1" applyFill="1"/>
    <xf numFmtId="165" fontId="19" fillId="0" borderId="9" xfId="1" applyFont="1" applyBorder="1"/>
    <xf numFmtId="0" fontId="10" fillId="7" borderId="30" xfId="0" applyFont="1" applyFill="1" applyBorder="1"/>
    <xf numFmtId="1" fontId="10" fillId="7" borderId="30" xfId="0" applyNumberFormat="1" applyFont="1" applyFill="1" applyBorder="1"/>
    <xf numFmtId="2" fontId="10" fillId="7" borderId="30" xfId="0" applyNumberFormat="1" applyFont="1" applyFill="1" applyBorder="1"/>
    <xf numFmtId="169" fontId="10" fillId="7" borderId="30" xfId="0" applyNumberFormat="1" applyFont="1" applyFill="1" applyBorder="1"/>
    <xf numFmtId="1" fontId="10" fillId="7" borderId="1" xfId="0" applyNumberFormat="1" applyFont="1" applyFill="1" applyBorder="1"/>
    <xf numFmtId="165" fontId="6" fillId="5" borderId="14" xfId="1" applyFont="1" applyFill="1" applyBorder="1"/>
    <xf numFmtId="165" fontId="6" fillId="5" borderId="0" xfId="1" applyFont="1" applyFill="1"/>
    <xf numFmtId="165" fontId="6" fillId="7" borderId="27" xfId="1" applyFont="1" applyFill="1" applyBorder="1"/>
    <xf numFmtId="165" fontId="6" fillId="7" borderId="27" xfId="1" applyFont="1" applyFill="1" applyBorder="1" applyAlignment="1">
      <alignment horizontal="right" vertical="center"/>
    </xf>
    <xf numFmtId="165" fontId="7" fillId="7" borderId="28" xfId="1" applyFont="1" applyFill="1" applyBorder="1"/>
    <xf numFmtId="165" fontId="6" fillId="7" borderId="0" xfId="1" applyFont="1" applyFill="1"/>
    <xf numFmtId="165" fontId="6" fillId="5" borderId="4" xfId="1" applyFont="1" applyFill="1" applyBorder="1"/>
    <xf numFmtId="165" fontId="6" fillId="7" borderId="26" xfId="1" applyFont="1" applyFill="1" applyBorder="1"/>
    <xf numFmtId="165" fontId="7" fillId="7" borderId="39" xfId="1" applyFont="1" applyFill="1" applyBorder="1"/>
    <xf numFmtId="1" fontId="6" fillId="7" borderId="31" xfId="1" applyNumberFormat="1" applyFont="1" applyFill="1" applyBorder="1" applyAlignment="1">
      <alignment horizontal="center" vertical="center"/>
    </xf>
    <xf numFmtId="165" fontId="6" fillId="7" borderId="31" xfId="1" applyFont="1" applyFill="1" applyBorder="1" applyAlignment="1">
      <alignment horizontal="center" vertical="center"/>
    </xf>
    <xf numFmtId="2" fontId="6" fillId="7" borderId="31" xfId="1" applyNumberFormat="1" applyFont="1" applyFill="1" applyBorder="1" applyAlignment="1">
      <alignment horizontal="center" vertical="center"/>
    </xf>
    <xf numFmtId="165" fontId="6" fillId="7" borderId="30" xfId="1" applyFont="1" applyFill="1" applyBorder="1" applyAlignment="1">
      <alignment horizontal="center" vertical="center"/>
    </xf>
    <xf numFmtId="165" fontId="7" fillId="7" borderId="0" xfId="1" applyFont="1" applyFill="1" applyAlignment="1">
      <alignment horizontal="center" vertical="center"/>
    </xf>
    <xf numFmtId="2" fontId="6" fillId="7" borderId="30" xfId="1" applyNumberFormat="1" applyFont="1" applyFill="1" applyBorder="1" applyAlignment="1">
      <alignment horizontal="center" vertical="center"/>
    </xf>
    <xf numFmtId="2" fontId="7" fillId="7" borderId="56" xfId="1" applyNumberFormat="1" applyFont="1" applyFill="1" applyBorder="1" applyAlignment="1">
      <alignment horizontal="center" vertical="center"/>
    </xf>
    <xf numFmtId="44" fontId="0" fillId="7" borderId="0" xfId="0" applyNumberFormat="1" applyFill="1"/>
    <xf numFmtId="0" fontId="10" fillId="5" borderId="5" xfId="0" applyFont="1" applyFill="1" applyBorder="1" applyAlignment="1">
      <alignment horizontal="center"/>
    </xf>
    <xf numFmtId="0" fontId="9" fillId="2" borderId="30" xfId="0" applyFont="1" applyFill="1" applyBorder="1"/>
    <xf numFmtId="165" fontId="9" fillId="2" borderId="30" xfId="1" applyFont="1" applyFill="1" applyBorder="1" applyAlignment="1">
      <alignment horizontal="center"/>
    </xf>
    <xf numFmtId="2" fontId="6" fillId="0" borderId="56" xfId="1" applyNumberFormat="1" applyFont="1" applyBorder="1" applyAlignment="1">
      <alignment horizontal="center" vertical="center"/>
    </xf>
    <xf numFmtId="165" fontId="7" fillId="0" borderId="56" xfId="1" applyFont="1" applyBorder="1" applyAlignment="1">
      <alignment horizontal="center" vertical="center"/>
    </xf>
    <xf numFmtId="2" fontId="6" fillId="7" borderId="56" xfId="1" applyNumberFormat="1" applyFont="1" applyFill="1" applyBorder="1" applyAlignment="1">
      <alignment horizontal="center" vertical="center"/>
    </xf>
    <xf numFmtId="9" fontId="7" fillId="0" borderId="31" xfId="3" applyFont="1" applyBorder="1" applyAlignment="1">
      <alignment horizontal="center" vertical="center" wrapText="1"/>
    </xf>
    <xf numFmtId="165" fontId="7" fillId="0" borderId="31" xfId="1" applyFont="1" applyBorder="1" applyAlignment="1">
      <alignment horizontal="center" vertical="center"/>
    </xf>
    <xf numFmtId="165" fontId="7" fillId="7" borderId="31" xfId="1" applyFont="1" applyFill="1" applyBorder="1" applyAlignment="1">
      <alignment horizontal="center" vertical="center"/>
    </xf>
    <xf numFmtId="165" fontId="7" fillId="0" borderId="51" xfId="1" applyFont="1" applyBorder="1" applyAlignment="1">
      <alignment horizontal="left" wrapText="1" indent="2"/>
    </xf>
    <xf numFmtId="9" fontId="7" fillId="0" borderId="52" xfId="3" applyFont="1" applyBorder="1" applyAlignment="1">
      <alignment horizontal="center" vertical="center" wrapText="1"/>
    </xf>
    <xf numFmtId="165" fontId="7" fillId="0" borderId="52" xfId="1" applyFont="1" applyBorder="1" applyAlignment="1">
      <alignment horizontal="center" vertical="center"/>
    </xf>
    <xf numFmtId="165" fontId="7" fillId="7" borderId="52" xfId="1" applyFont="1" applyFill="1" applyBorder="1" applyAlignment="1">
      <alignment horizontal="center" vertical="center"/>
    </xf>
    <xf numFmtId="165" fontId="7" fillId="0" borderId="53" xfId="1" applyFont="1" applyBorder="1" applyAlignment="1">
      <alignment horizontal="center" vertical="center"/>
    </xf>
    <xf numFmtId="165" fontId="7" fillId="0" borderId="1" xfId="1" applyFont="1" applyBorder="1" applyAlignment="1">
      <alignment horizontal="left" wrapText="1" indent="2"/>
    </xf>
    <xf numFmtId="9" fontId="7" fillId="0" borderId="34" xfId="3" applyFont="1" applyBorder="1" applyAlignment="1">
      <alignment horizontal="center" vertical="center" wrapText="1"/>
    </xf>
    <xf numFmtId="2" fontId="7" fillId="0" borderId="34" xfId="1" applyNumberFormat="1" applyFont="1" applyBorder="1" applyAlignment="1">
      <alignment horizontal="center" vertical="center"/>
    </xf>
    <xf numFmtId="165" fontId="7" fillId="0" borderId="34" xfId="1" applyFont="1" applyBorder="1" applyAlignment="1">
      <alignment horizontal="center" vertical="center"/>
    </xf>
    <xf numFmtId="2" fontId="7" fillId="7" borderId="34" xfId="1" applyNumberFormat="1" applyFont="1" applyFill="1" applyBorder="1" applyAlignment="1">
      <alignment horizontal="center" vertical="center"/>
    </xf>
    <xf numFmtId="165" fontId="7" fillId="0" borderId="2" xfId="1" applyFont="1" applyBorder="1" applyAlignment="1">
      <alignment horizontal="center" vertical="center"/>
    </xf>
    <xf numFmtId="165" fontId="7" fillId="0" borderId="64" xfId="1" applyFont="1" applyBorder="1" applyAlignment="1">
      <alignment horizontal="center" vertical="center"/>
    </xf>
    <xf numFmtId="2" fontId="7" fillId="0" borderId="2" xfId="1" applyNumberFormat="1" applyFont="1" applyBorder="1" applyAlignment="1">
      <alignment horizontal="center" vertical="center"/>
    </xf>
    <xf numFmtId="165" fontId="7" fillId="0" borderId="66" xfId="1" applyFont="1" applyBorder="1" applyAlignment="1">
      <alignment horizontal="center" vertical="center"/>
    </xf>
    <xf numFmtId="165" fontId="7" fillId="0" borderId="67" xfId="1" applyFont="1" applyBorder="1" applyAlignment="1">
      <alignment horizontal="left" wrapText="1" indent="2"/>
    </xf>
    <xf numFmtId="165" fontId="7" fillId="0" borderId="65" xfId="1" applyFont="1" applyBorder="1" applyAlignment="1">
      <alignment horizontal="left" wrapText="1" indent="2"/>
    </xf>
    <xf numFmtId="2" fontId="7" fillId="0" borderId="66" xfId="1" applyNumberFormat="1" applyFont="1" applyBorder="1" applyAlignment="1">
      <alignment horizontal="center" vertical="center"/>
    </xf>
    <xf numFmtId="174" fontId="21" fillId="7" borderId="58" xfId="1" applyNumberFormat="1" applyFont="1" applyFill="1" applyBorder="1" applyAlignment="1">
      <alignment horizontal="center"/>
    </xf>
    <xf numFmtId="165" fontId="6" fillId="0" borderId="58" xfId="1" applyFont="1" applyBorder="1" applyAlignment="1">
      <alignment horizontal="center" vertical="center"/>
    </xf>
    <xf numFmtId="165" fontId="6" fillId="7" borderId="58" xfId="1" applyFont="1" applyFill="1" applyBorder="1" applyAlignment="1">
      <alignment horizontal="center" vertical="center"/>
    </xf>
    <xf numFmtId="165" fontId="7" fillId="0" borderId="57" xfId="1" applyFont="1" applyBorder="1" applyAlignment="1">
      <alignment horizontal="left" indent="2"/>
    </xf>
    <xf numFmtId="165" fontId="7" fillId="0" borderId="65" xfId="1" applyFont="1" applyBorder="1" applyAlignment="1">
      <alignment horizontal="left" indent="2"/>
    </xf>
    <xf numFmtId="2" fontId="7" fillId="0" borderId="28" xfId="1" applyNumberFormat="1" applyFont="1" applyBorder="1" applyAlignment="1">
      <alignment horizontal="center" vertical="center"/>
    </xf>
    <xf numFmtId="165" fontId="7" fillId="0" borderId="68" xfId="1" applyFont="1" applyBorder="1"/>
    <xf numFmtId="2" fontId="7" fillId="0" borderId="29" xfId="1" applyNumberFormat="1" applyFont="1" applyBorder="1" applyAlignment="1">
      <alignment horizontal="center" vertical="center"/>
    </xf>
    <xf numFmtId="0" fontId="0" fillId="0" borderId="30" xfId="0" applyBorder="1"/>
    <xf numFmtId="17" fontId="0" fillId="0" borderId="30" xfId="0" applyNumberFormat="1" applyBorder="1"/>
    <xf numFmtId="165" fontId="0" fillId="0" borderId="30" xfId="1" applyFont="1" applyBorder="1"/>
    <xf numFmtId="2" fontId="19" fillId="0" borderId="9" xfId="1" applyNumberFormat="1" applyFont="1" applyBorder="1" applyAlignment="1">
      <alignment horizontal="center"/>
    </xf>
    <xf numFmtId="2" fontId="21" fillId="0" borderId="30" xfId="1" applyNumberFormat="1" applyFont="1" applyFill="1" applyBorder="1" applyAlignment="1">
      <alignment horizontal="center"/>
    </xf>
    <xf numFmtId="174" fontId="21" fillId="0" borderId="30" xfId="1" applyNumberFormat="1" applyFont="1" applyFill="1" applyBorder="1" applyAlignment="1">
      <alignment horizontal="center"/>
    </xf>
    <xf numFmtId="0" fontId="9" fillId="2" borderId="3" xfId="0" applyFont="1" applyFill="1" applyBorder="1"/>
    <xf numFmtId="165" fontId="9" fillId="2" borderId="63" xfId="1" applyFont="1" applyFill="1" applyBorder="1" applyAlignment="1">
      <alignment horizontal="center"/>
    </xf>
    <xf numFmtId="165" fontId="9" fillId="2" borderId="55" xfId="1" applyFont="1" applyFill="1" applyBorder="1" applyAlignment="1">
      <alignment horizontal="center"/>
    </xf>
    <xf numFmtId="165" fontId="9" fillId="2" borderId="21" xfId="1" applyFont="1" applyFill="1" applyBorder="1" applyAlignment="1">
      <alignment horizontal="center"/>
    </xf>
    <xf numFmtId="0" fontId="9" fillId="2" borderId="21" xfId="0" applyFont="1" applyFill="1" applyBorder="1" applyAlignment="1">
      <alignment horizontal="center"/>
    </xf>
    <xf numFmtId="2" fontId="7" fillId="0" borderId="30" xfId="1" applyNumberFormat="1" applyFont="1" applyBorder="1" applyAlignment="1">
      <alignment horizontal="left" indent="2"/>
    </xf>
    <xf numFmtId="165" fontId="7" fillId="0" borderId="30" xfId="1" applyFont="1" applyBorder="1" applyAlignment="1">
      <alignment horizontal="left" indent="2"/>
    </xf>
    <xf numFmtId="172" fontId="11" fillId="0" borderId="21" xfId="1" applyNumberFormat="1" applyFont="1" applyBorder="1" applyAlignment="1">
      <alignment horizontal="center"/>
    </xf>
    <xf numFmtId="165" fontId="7" fillId="0" borderId="62" xfId="1" applyFont="1" applyBorder="1"/>
    <xf numFmtId="165" fontId="7" fillId="0" borderId="21" xfId="1" applyFont="1" applyBorder="1"/>
    <xf numFmtId="2" fontId="7" fillId="0" borderId="69" xfId="1" applyNumberFormat="1" applyFont="1" applyBorder="1" applyAlignment="1">
      <alignment horizontal="center" vertical="center"/>
    </xf>
    <xf numFmtId="165" fontId="7" fillId="0" borderId="51" xfId="1" applyFont="1" applyBorder="1" applyAlignment="1">
      <alignment horizontal="left" indent="2"/>
    </xf>
    <xf numFmtId="165" fontId="6" fillId="0" borderId="52" xfId="1" applyFont="1" applyBorder="1" applyAlignment="1">
      <alignment horizontal="center" vertical="center"/>
    </xf>
    <xf numFmtId="165" fontId="6" fillId="7" borderId="52" xfId="1" applyFont="1" applyFill="1" applyBorder="1" applyAlignment="1">
      <alignment horizontal="center" vertical="center"/>
    </xf>
    <xf numFmtId="165" fontId="19" fillId="0" borderId="50" xfId="1" applyFont="1" applyBorder="1"/>
    <xf numFmtId="165" fontId="7" fillId="7" borderId="30" xfId="1" applyFont="1" applyFill="1" applyBorder="1" applyAlignment="1">
      <alignment horizontal="center" vertical="center"/>
    </xf>
    <xf numFmtId="0" fontId="19" fillId="0" borderId="0" xfId="0" applyFont="1"/>
    <xf numFmtId="0" fontId="7" fillId="3" borderId="3" xfId="0" applyFont="1" applyFill="1" applyBorder="1" applyAlignment="1">
      <alignment horizontal="left"/>
    </xf>
    <xf numFmtId="0" fontId="7" fillId="3" borderId="60" xfId="0" applyFont="1" applyFill="1" applyBorder="1" applyAlignment="1">
      <alignment horizontal="left"/>
    </xf>
    <xf numFmtId="0" fontId="7" fillId="3" borderId="4" xfId="0" applyFont="1" applyFill="1" applyBorder="1" applyAlignment="1">
      <alignment horizontal="left"/>
    </xf>
    <xf numFmtId="0" fontId="23" fillId="11" borderId="8" xfId="0" applyFont="1" applyFill="1" applyBorder="1" applyAlignment="1">
      <alignment horizontal="left" vertical="center"/>
    </xf>
    <xf numFmtId="0" fontId="23" fillId="11" borderId="5" xfId="0" applyFont="1" applyFill="1" applyBorder="1" applyAlignment="1">
      <alignment horizontal="left" vertical="center"/>
    </xf>
    <xf numFmtId="0" fontId="23" fillId="11" borderId="44" xfId="0" applyFont="1" applyFill="1" applyBorder="1" applyAlignment="1">
      <alignment horizontal="left" vertical="center"/>
    </xf>
    <xf numFmtId="0" fontId="23" fillId="11" borderId="7" xfId="0" applyFont="1" applyFill="1" applyBorder="1" applyAlignment="1">
      <alignment horizontal="left" vertical="center"/>
    </xf>
    <xf numFmtId="0" fontId="23" fillId="11" borderId="0" xfId="0" applyFont="1" applyFill="1" applyAlignment="1">
      <alignment horizontal="left" vertical="center"/>
    </xf>
    <xf numFmtId="0" fontId="23" fillId="11" borderId="10" xfId="0" applyFont="1" applyFill="1" applyBorder="1" applyAlignment="1">
      <alignment horizontal="left" vertical="center"/>
    </xf>
    <xf numFmtId="0" fontId="23" fillId="11" borderId="6" xfId="0" applyFont="1" applyFill="1" applyBorder="1" applyAlignment="1">
      <alignment horizontal="left" vertical="center"/>
    </xf>
    <xf numFmtId="0" fontId="23" fillId="11" borderId="50" xfId="0" applyFont="1" applyFill="1" applyBorder="1" applyAlignment="1">
      <alignment horizontal="left" vertical="center"/>
    </xf>
    <xf numFmtId="0" fontId="23" fillId="11" borderId="9" xfId="0" applyFont="1" applyFill="1" applyBorder="1" applyAlignment="1">
      <alignment horizontal="left" vertical="center"/>
    </xf>
    <xf numFmtId="49" fontId="19" fillId="0" borderId="8" xfId="0" applyNumberFormat="1" applyFont="1" applyBorder="1" applyAlignment="1">
      <alignment horizontal="left" wrapText="1"/>
    </xf>
    <xf numFmtId="49" fontId="19" fillId="0" borderId="5" xfId="0" applyNumberFormat="1" applyFont="1" applyBorder="1" applyAlignment="1">
      <alignment horizontal="left" wrapText="1"/>
    </xf>
    <xf numFmtId="49" fontId="19" fillId="0" borderId="44" xfId="0" applyNumberFormat="1" applyFont="1" applyBorder="1" applyAlignment="1">
      <alignment horizontal="left" wrapText="1"/>
    </xf>
    <xf numFmtId="49" fontId="19" fillId="0" borderId="7" xfId="0" applyNumberFormat="1" applyFont="1" applyBorder="1" applyAlignment="1">
      <alignment horizontal="left" wrapText="1"/>
    </xf>
    <xf numFmtId="49" fontId="19" fillId="0" borderId="0" xfId="0" applyNumberFormat="1" applyFont="1" applyAlignment="1">
      <alignment horizontal="left" wrapText="1"/>
    </xf>
    <xf numFmtId="49" fontId="19" fillId="0" borderId="10" xfId="0" applyNumberFormat="1" applyFont="1" applyBorder="1" applyAlignment="1">
      <alignment horizontal="left" wrapText="1"/>
    </xf>
    <xf numFmtId="49" fontId="19" fillId="0" borderId="6" xfId="0" applyNumberFormat="1" applyFont="1" applyBorder="1" applyAlignment="1">
      <alignment horizontal="left" wrapText="1"/>
    </xf>
    <xf numFmtId="49" fontId="19" fillId="0" borderId="50" xfId="0" applyNumberFormat="1" applyFont="1" applyBorder="1" applyAlignment="1">
      <alignment horizontal="left" wrapText="1"/>
    </xf>
    <xf numFmtId="49" fontId="19" fillId="0" borderId="9" xfId="0" applyNumberFormat="1" applyFont="1" applyBorder="1" applyAlignment="1">
      <alignment horizontal="left" wrapText="1"/>
    </xf>
    <xf numFmtId="0" fontId="0" fillId="0" borderId="8" xfId="0" applyBorder="1" applyAlignment="1">
      <alignment horizontal="left" vertical="top" wrapText="1"/>
    </xf>
    <xf numFmtId="0" fontId="0" fillId="0" borderId="5" xfId="0" applyBorder="1" applyAlignment="1">
      <alignment horizontal="left" vertical="top"/>
    </xf>
    <xf numFmtId="0" fontId="0" fillId="0" borderId="44" xfId="0" applyBorder="1" applyAlignment="1">
      <alignment horizontal="left" vertical="top"/>
    </xf>
    <xf numFmtId="0" fontId="0" fillId="0" borderId="7" xfId="0" applyBorder="1" applyAlignment="1">
      <alignment horizontal="left" vertical="top"/>
    </xf>
    <xf numFmtId="0" fontId="0" fillId="0" borderId="0" xfId="0" applyAlignment="1">
      <alignment horizontal="left" vertical="top"/>
    </xf>
    <xf numFmtId="0" fontId="0" fillId="0" borderId="10" xfId="0" applyBorder="1" applyAlignment="1">
      <alignment horizontal="left" vertical="top"/>
    </xf>
    <xf numFmtId="0" fontId="0" fillId="0" borderId="6" xfId="0" applyBorder="1" applyAlignment="1">
      <alignment horizontal="left" vertical="top"/>
    </xf>
    <xf numFmtId="0" fontId="0" fillId="0" borderId="50" xfId="0" applyBorder="1" applyAlignment="1">
      <alignment horizontal="left" vertical="top"/>
    </xf>
    <xf numFmtId="0" fontId="0" fillId="0" borderId="9" xfId="0" applyBorder="1" applyAlignment="1">
      <alignment horizontal="left" vertical="top"/>
    </xf>
    <xf numFmtId="0" fontId="2" fillId="2" borderId="8"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44"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0" xfId="0" applyFont="1" applyFill="1" applyAlignment="1">
      <alignment horizontal="center" vertical="center"/>
    </xf>
    <xf numFmtId="0" fontId="2" fillId="2" borderId="10"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50" xfId="0" applyFont="1" applyFill="1" applyBorder="1" applyAlignment="1">
      <alignment horizontal="center" vertical="center"/>
    </xf>
    <xf numFmtId="0" fontId="2" fillId="2" borderId="9" xfId="0" applyFont="1" applyFill="1" applyBorder="1" applyAlignment="1">
      <alignment horizontal="center" vertical="center"/>
    </xf>
    <xf numFmtId="169" fontId="3" fillId="0" borderId="48" xfId="0" applyNumberFormat="1" applyFont="1" applyBorder="1" applyAlignment="1">
      <alignment horizontal="center"/>
    </xf>
    <xf numFmtId="169" fontId="3" fillId="0" borderId="43" xfId="0" applyNumberFormat="1" applyFont="1" applyBorder="1" applyAlignment="1">
      <alignment horizontal="center"/>
    </xf>
    <xf numFmtId="164" fontId="3" fillId="0" borderId="49" xfId="0" applyNumberFormat="1" applyFont="1" applyBorder="1" applyAlignment="1">
      <alignment horizontal="center"/>
    </xf>
    <xf numFmtId="164" fontId="3" fillId="0" borderId="40" xfId="0" applyNumberFormat="1" applyFont="1" applyBorder="1" applyAlignment="1">
      <alignment horizontal="center"/>
    </xf>
    <xf numFmtId="0" fontId="5" fillId="3" borderId="35" xfId="0" applyFont="1" applyFill="1" applyBorder="1" applyAlignment="1">
      <alignment horizontal="center"/>
    </xf>
    <xf numFmtId="0" fontId="5" fillId="3" borderId="36" xfId="0" applyFont="1" applyFill="1" applyBorder="1" applyAlignment="1">
      <alignment horizontal="center"/>
    </xf>
    <xf numFmtId="0" fontId="5" fillId="3" borderId="37" xfId="0" applyFont="1" applyFill="1" applyBorder="1" applyAlignment="1">
      <alignment horizontal="center"/>
    </xf>
  </cellXfs>
  <cellStyles count="9">
    <cellStyle name="Comma" xfId="2" builtinId="3"/>
    <cellStyle name="Comma 2" xfId="6" xr:uid="{99735914-463F-4F2C-8209-9AA6C17387C2}"/>
    <cellStyle name="Currency" xfId="1" builtinId="4"/>
    <cellStyle name="Currency 2" xfId="8" xr:uid="{01A50454-9429-47DF-8F48-106AA08B88EA}"/>
    <cellStyle name="Normal" xfId="0" builtinId="0"/>
    <cellStyle name="Normal 2 2" xfId="5" xr:uid="{4EEF7F6E-FF90-45F1-9C98-B33EAC337FC2}"/>
    <cellStyle name="Normal 3" xfId="4" xr:uid="{314E0592-0AB2-427A-9A3F-6D47CC25D9A0}"/>
    <cellStyle name="Percent" xfId="3" builtinId="5"/>
    <cellStyle name="Percent 2" xfId="7" xr:uid="{90783729-7E07-4C58-B8E8-F5B29B18A0EF}"/>
  </cellStyles>
  <dxfs count="2">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9.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calcChain" Target="calcChain.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11</xdr:col>
      <xdr:colOff>292549</xdr:colOff>
      <xdr:row>29</xdr:row>
      <xdr:rowOff>148318</xdr:rowOff>
    </xdr:to>
    <xdr:pic>
      <xdr:nvPicPr>
        <xdr:cNvPr id="2" name="Picture 1">
          <a:extLst>
            <a:ext uri="{FF2B5EF4-FFF2-40B4-BE49-F238E27FC236}">
              <a16:creationId xmlns:a16="http://schemas.microsoft.com/office/drawing/2014/main" id="{E1C12183-DEED-C51B-733F-5429FAC80276}"/>
            </a:ext>
          </a:extLst>
        </xdr:cNvPr>
        <xdr:cNvPicPr>
          <a:picLocks noChangeAspect="1"/>
        </xdr:cNvPicPr>
      </xdr:nvPicPr>
      <xdr:blipFill>
        <a:blip xmlns:r="http://schemas.openxmlformats.org/officeDocument/2006/relationships" r:embed="rId1"/>
        <a:stretch>
          <a:fillRect/>
        </a:stretch>
      </xdr:blipFill>
      <xdr:spPr>
        <a:xfrm>
          <a:off x="0" y="0"/>
          <a:ext cx="6998149" cy="5686425"/>
        </a:xfrm>
        <a:prstGeom prst="rect">
          <a:avLst/>
        </a:prstGeom>
      </xdr:spPr>
    </xdr:pic>
    <xdr:clientData/>
  </xdr:twoCellAnchor>
  <xdr:twoCellAnchor editAs="oneCell">
    <xdr:from>
      <xdr:col>11</xdr:col>
      <xdr:colOff>314325</xdr:colOff>
      <xdr:row>2</xdr:row>
      <xdr:rowOff>57150</xdr:rowOff>
    </xdr:from>
    <xdr:to>
      <xdr:col>35</xdr:col>
      <xdr:colOff>163946</xdr:colOff>
      <xdr:row>27</xdr:row>
      <xdr:rowOff>19709</xdr:rowOff>
    </xdr:to>
    <xdr:pic>
      <xdr:nvPicPr>
        <xdr:cNvPr id="3" name="Picture 2">
          <a:extLst>
            <a:ext uri="{FF2B5EF4-FFF2-40B4-BE49-F238E27FC236}">
              <a16:creationId xmlns:a16="http://schemas.microsoft.com/office/drawing/2014/main" id="{28E43B0E-3225-3213-AB94-8BD651BB93CE}"/>
            </a:ext>
          </a:extLst>
        </xdr:cNvPr>
        <xdr:cNvPicPr>
          <a:picLocks noChangeAspect="1"/>
        </xdr:cNvPicPr>
      </xdr:nvPicPr>
      <xdr:blipFill>
        <a:blip xmlns:r="http://schemas.openxmlformats.org/officeDocument/2006/relationships" r:embed="rId2"/>
        <a:stretch>
          <a:fillRect/>
        </a:stretch>
      </xdr:blipFill>
      <xdr:spPr>
        <a:xfrm>
          <a:off x="7019925" y="438150"/>
          <a:ext cx="14480021" cy="4725059"/>
        </a:xfrm>
        <a:prstGeom prst="rect">
          <a:avLst/>
        </a:prstGeom>
      </xdr:spPr>
    </xdr:pic>
    <xdr:clientData/>
  </xdr:twoCellAnchor>
  <xdr:twoCellAnchor editAs="oneCell">
    <xdr:from>
      <xdr:col>1</xdr:col>
      <xdr:colOff>148319</xdr:colOff>
      <xdr:row>30</xdr:row>
      <xdr:rowOff>97971</xdr:rowOff>
    </xdr:from>
    <xdr:to>
      <xdr:col>22</xdr:col>
      <xdr:colOff>464483</xdr:colOff>
      <xdr:row>55</xdr:row>
      <xdr:rowOff>65976</xdr:rowOff>
    </xdr:to>
    <xdr:pic>
      <xdr:nvPicPr>
        <xdr:cNvPr id="4" name="Picture 3">
          <a:extLst>
            <a:ext uri="{FF2B5EF4-FFF2-40B4-BE49-F238E27FC236}">
              <a16:creationId xmlns:a16="http://schemas.microsoft.com/office/drawing/2014/main" id="{4CBE28C2-B32E-ABA5-64EB-370D9B69E11A}"/>
            </a:ext>
          </a:extLst>
        </xdr:cNvPr>
        <xdr:cNvPicPr>
          <a:picLocks noChangeAspect="1"/>
        </xdr:cNvPicPr>
      </xdr:nvPicPr>
      <xdr:blipFill>
        <a:blip xmlns:r="http://schemas.openxmlformats.org/officeDocument/2006/relationships" r:embed="rId3"/>
        <a:stretch>
          <a:fillRect/>
        </a:stretch>
      </xdr:blipFill>
      <xdr:spPr>
        <a:xfrm>
          <a:off x="760640" y="5812971"/>
          <a:ext cx="13174914" cy="4744112"/>
        </a:xfrm>
        <a:prstGeom prst="rect">
          <a:avLst/>
        </a:prstGeom>
      </xdr:spPr>
    </xdr:pic>
    <xdr:clientData/>
  </xdr:twoCellAnchor>
  <xdr:twoCellAnchor editAs="oneCell">
    <xdr:from>
      <xdr:col>23</xdr:col>
      <xdr:colOff>27213</xdr:colOff>
      <xdr:row>48</xdr:row>
      <xdr:rowOff>81643</xdr:rowOff>
    </xdr:from>
    <xdr:to>
      <xdr:col>49</xdr:col>
      <xdr:colOff>330248</xdr:colOff>
      <xdr:row>73</xdr:row>
      <xdr:rowOff>168045</xdr:rowOff>
    </xdr:to>
    <xdr:pic>
      <xdr:nvPicPr>
        <xdr:cNvPr id="5" name="Picture 4">
          <a:extLst>
            <a:ext uri="{FF2B5EF4-FFF2-40B4-BE49-F238E27FC236}">
              <a16:creationId xmlns:a16="http://schemas.microsoft.com/office/drawing/2014/main" id="{B1066E1C-F721-6A2A-0873-3072BE557567}"/>
            </a:ext>
          </a:extLst>
        </xdr:cNvPr>
        <xdr:cNvPicPr>
          <a:picLocks noChangeAspect="1"/>
        </xdr:cNvPicPr>
      </xdr:nvPicPr>
      <xdr:blipFill>
        <a:blip xmlns:r="http://schemas.openxmlformats.org/officeDocument/2006/relationships" r:embed="rId4"/>
        <a:stretch>
          <a:fillRect/>
        </a:stretch>
      </xdr:blipFill>
      <xdr:spPr>
        <a:xfrm>
          <a:off x="14110606" y="9252857"/>
          <a:ext cx="16604392" cy="48489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mveng.sharepoint.com/daten/InterneRundschreiben/BBX_Anlagen_25080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emsas.worleyparsons.com/Program%20Files/AspenTech/Aspen%20ICARUS%202001/ic_cache/Reporter/Templates/ProjectTemplat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emsas.worleyparsons.com/Documents%20and%20Settings/Sheldon/Local%20Settings/Temporary%20Internet%20Files/Content.IE5/0XUFK5EF/Pembina%20Horizon%20Green%20Zone_NPS30&amp;2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sean.herbert/Dropbox%20(LMKeating)/672_UL_Student_Centre/2.6_Budget/CVR/CVR%20-%20Oct.%202019/CVR%20-%20672%20Student%20Centre%20UL%20-%20Oct.%202019.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emsas.worleyparsons.com/Documents%20and%20Settings/dayj.000/Local%20Settings/Temporary%20Internet%20Files/OLK5/Summary%20Est%20green%20zone%20js%20Dec%201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emsas.worleyparsons.com/Documents%20and%20Settings/Sheldon/Local%20Settings/Temporary%20Internet%20Files/Content.IE5/0XUFK5EF/Summary%20Est%20green%20zone%20js%20Dec%201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CRL\07T0884\00-Common\04-Project_Management\PM-07-Cost%20Estimates\0.%20Latest%20Estimate\07T0884-00-A-2601-WP-190DHU-ESTIMATE.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hmveng.sharepoint.com/Users/luke.montgomery/OneDrive%20-%20H&amp;mv%20Engineering/Templates/Template%20Master%20BOQ%20rev1.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ayyzwpfil01.worleyparsons.com\Projects\Project%20Estimating\Sarnia%20Help\Cost%20Estimate%20Working%20Files%2002June08\19%20-%20DHU\WP-19-Summ%20Rev%208.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emsas.worleyparsons.com/DOCUME~1/derosaa/LOCALS~1/Temp/RISK.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anthony.quinn/H&amp;mv%20Engineering/B1025%20-%20Boolard%20WF%20Project%20-%2011.%20QS/01.%20Commerical%20Tender%20Documents/11.1.4%20-%20Estimating%20Working%20Docs/18-73%20Boolard%20Master%20BOQ%20Rev%204.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hmveng.sharepoint.com/CPMP_CAS/320841%20ESST%20Catania/Angebot/10.03.2010/320841-00-RM-100310-ESST-CataniaTERA-Annex-Cash-Curve-REPH.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Eckdaten"/>
      <sheetName val="Analyse"/>
      <sheetName val="Kalkulation"/>
      <sheetName val="Lieferantenspiegel"/>
      <sheetName val="Risikoanalyse"/>
      <sheetName val="Finanz.rechn."/>
      <sheetName val="Hilfsrechnung"/>
      <sheetName val="M+W Manloader Application"/>
      <sheetName val="Finanz_rechn_"/>
      <sheetName val="M+W_Manloader_Application"/>
    </sheetNames>
    <sheetDataSet>
      <sheetData sheetId="0"/>
      <sheetData sheetId="1"/>
      <sheetData sheetId="2"/>
      <sheetData sheetId="3"/>
      <sheetData sheetId="4"/>
      <sheetData sheetId="5"/>
      <sheetData sheetId="6"/>
      <sheetData sheetId="7" refreshError="1"/>
      <sheetData sheetId="8" refreshError="1"/>
      <sheetData sheetId="9"/>
      <sheetData sheetId="1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 Cost Sumry"/>
      <sheetName val="TDC Key Qty Sumry"/>
      <sheetName val="TDC COA Sumry"/>
      <sheetName val="TDC Item Sumry"/>
      <sheetName val="TDC Item Dets"/>
      <sheetName val="Proj TIC - Std Imp"/>
      <sheetName val="Contr TDC - Std Imp"/>
      <sheetName val="COA Sumry - Std Imp"/>
      <sheetName val="Item Sumry - Std Imp"/>
      <sheetName val="Unit Costs - Std Imp"/>
      <sheetName val="Unit MH - Std Imp"/>
      <sheetName val="Project Metrics"/>
    </sheetNames>
    <sheetDataSet>
      <sheetData sheetId="0" refreshError="1"/>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I"/>
      <sheetName val="SW"/>
      <sheetName val="SR"/>
      <sheetName val="MO"/>
      <sheetName val="GF"/>
      <sheetName val="HS"/>
      <sheetName val="BE"/>
      <sheetName val="PGM"/>
      <sheetName val="PGMp"/>
      <sheetName val="WM"/>
      <sheetName val="WMp"/>
      <sheetName val="CJ"/>
      <sheetName val="DI"/>
      <sheetName val="LI"/>
      <sheetName val="BF"/>
      <sheetName val="TI1"/>
      <sheetName val="TI2"/>
      <sheetName val="TST"/>
      <sheetName val="FC"/>
      <sheetName val="Labour"/>
      <sheetName val="Equipment"/>
      <sheetName val="Separator"/>
      <sheetName val="ChartData"/>
      <sheetName val="MarchChart"/>
      <sheetName val="ManPowerChart"/>
      <sheetName val="Schedule"/>
      <sheetName val="Summary (2)"/>
      <sheetName val="Buoy"/>
      <sheetName val="RB"/>
      <sheetName val="RvrOC"/>
      <sheetName val="HDD"/>
      <sheetName val="Fab"/>
      <sheetName val="PGS"/>
      <sheetName val="PGPS"/>
      <sheetName val="WS"/>
      <sheetName val="WSP"/>
      <sheetName val="TR"/>
      <sheetName val="LM"/>
      <sheetName val="PBS"/>
      <sheetName val="RB2"/>
      <sheetName val="MC"/>
      <sheetName val="LRD"/>
      <sheetName val="LRP"/>
      <sheetName val="RDD"/>
      <sheetName val="RDP"/>
      <sheetName val="RDI"/>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Dat"/>
      <sheetName val="Front Sheet"/>
      <sheetName val="Project Appraisal"/>
      <sheetName val="Revenue Summary"/>
      <sheetName val="Risks and Opps"/>
      <sheetName val="Cash Management"/>
      <sheetName val="End Forecast Value"/>
      <sheetName val="End Forecast Cost"/>
      <sheetName val="Value Profile"/>
      <sheetName val="12 Month Value Profile"/>
      <sheetName val="Cost Profile"/>
      <sheetName val="Variations"/>
      <sheetName val="A - Materials"/>
      <sheetName val="B1 - Prelims"/>
      <sheetName val="B2 - Plant"/>
      <sheetName val="B3 - Labour"/>
      <sheetName val="C - Sub Contractors"/>
      <sheetName val="E - Miscellaneous"/>
      <sheetName val="Quickbooks Download"/>
      <sheetName val="VLOOKU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BE"/>
    </sheetNames>
    <sheetDataSet>
      <sheetData sheetId="0" refreshError="1"/>
      <sheetData sheetId="1"/>
      <sheetData sheetId="2"/>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E"/>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D"/>
      <sheetName val="Allowance dollars"/>
      <sheetName val="Assumptions"/>
      <sheetName val="Loc"/>
      <sheetName val="Metric Summ-1"/>
      <sheetName val="A SiteDev"/>
      <sheetName val="AC SiteDev-Piles"/>
      <sheetName val="B EarthWorks"/>
      <sheetName val="B4 EarthWorks HydroVac"/>
      <sheetName val="C Concrete"/>
      <sheetName val="D Steel"/>
      <sheetName val="F Bldg"/>
      <sheetName val="G Scaffolding"/>
      <sheetName val="H Demo"/>
      <sheetName val="LA Insul Piping"/>
      <sheetName val="LF Insul Equipt"/>
      <sheetName val="LR Refractory"/>
      <sheetName val="LS FireProof"/>
      <sheetName val="M Eqpt New"/>
      <sheetName val="ME Eqpt Refurbish"/>
      <sheetName val="P-P. Details"/>
      <sheetName val="PB Valves"/>
      <sheetName val="P-S.Tracing"/>
      <sheetName val="P-Piping"/>
      <sheetName val="U Electrical Equipment"/>
      <sheetName val="W Electrical Bulk"/>
      <sheetName val="V Instrument Equipment"/>
      <sheetName val="X Instrument Bulk"/>
      <sheetName val="Y Painting"/>
      <sheetName val="Metric Summ-2"/>
      <sheetName val="Rates Allowa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sTemplate"/>
      <sheetName val="CivilsSummaryTemplate"/>
      <sheetName val="Civils BoQ"/>
      <sheetName val="0.Project Overview Sheet "/>
      <sheetName val="1.Project Overview Sheet"/>
      <sheetName val="2.Summary"/>
      <sheetName val="3.Master BOQ"/>
      <sheetName val="4.Equipment Offers"/>
      <sheetName val="5. Material calculation"/>
      <sheetName val="6.Proposal"/>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iginal All Inclusive Rate"/>
      <sheetName val="Co-op All-in"/>
      <sheetName val="Sum-D"/>
      <sheetName val="Risk Analysis Input"/>
      <sheetName val="Risk Analysis Input revised"/>
      <sheetName val="Risk Graph"/>
      <sheetName val="Revised All Inclusive Rate  "/>
      <sheetName val="Allowance dollars"/>
      <sheetName val="Rates Allowances"/>
      <sheetName val="Assumptions"/>
      <sheetName val="Loc"/>
      <sheetName val="Metric Summ"/>
      <sheetName val="A SiteDev"/>
      <sheetName val="AC SiteDev-Piles"/>
      <sheetName val="B EarthWorks"/>
      <sheetName val="B4 EarthWorks HydroVac"/>
      <sheetName val="C Concrete"/>
      <sheetName val="D Steel"/>
      <sheetName val="F Bldg"/>
      <sheetName val="H Demo"/>
      <sheetName val="LA Insul Piping"/>
      <sheetName val="LF Insul Equipt"/>
      <sheetName val="LR Refractory"/>
      <sheetName val="LS FireProof"/>
      <sheetName val="M Eqpt New"/>
      <sheetName val="ME Eqpt Refurbish"/>
      <sheetName val="P Piping"/>
      <sheetName val="PB Valves"/>
      <sheetName val="U Electrical Equipment"/>
      <sheetName val="V Instrument Equipment"/>
      <sheetName val="W Electrical Bulk"/>
      <sheetName val="X Instrument Bulk"/>
      <sheetName val="Y Paint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triangular&amp;uniform"/>
      <sheetName val="STATISTICS"/>
      <sheetName val="CONTINGENCY"/>
      <sheetName val="Sheet4"/>
    </sheetNames>
    <sheetDataSet>
      <sheetData sheetId="0" refreshError="1"/>
      <sheetData sheetId="1"/>
      <sheetData sheetId="2" refreshError="1"/>
      <sheetData sheetId="3" refreshError="1"/>
      <sheetData sheetId="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Project Summary Sheet"/>
      <sheetName val="Summary"/>
      <sheetName val="Boolard EBoP"/>
      <sheetName val="Breakdown"/>
      <sheetName val="Schedule of Rates"/>
      <sheetName val="Material calculation"/>
      <sheetName val="Equipment Offers"/>
    </sheetNames>
    <sheetDataSet>
      <sheetData sheetId="0"/>
      <sheetData sheetId="1"/>
      <sheetData sheetId="2"/>
      <sheetData sheetId="3"/>
      <sheetData sheetId="4"/>
      <sheetData sheetId="5"/>
      <sheetData sheetId="6"/>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Flow"/>
      <sheetName val="Readme"/>
      <sheetName val="PSW_Sheet"/>
      <sheetName val="Cash_Flow"/>
    </sheetNames>
    <sheetDataSet>
      <sheetData sheetId="0" refreshError="1"/>
      <sheetData sheetId="1"/>
      <sheetData sheetId="2"/>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32AD6-91DE-4F33-A746-53EEB709B3E8}">
  <dimension ref="A2:C19"/>
  <sheetViews>
    <sheetView workbookViewId="0">
      <selection activeCell="A21" sqref="A21"/>
    </sheetView>
  </sheetViews>
  <sheetFormatPr defaultRowHeight="15" x14ac:dyDescent="0.25"/>
  <cols>
    <col min="1" max="1" width="52.85546875" bestFit="1" customWidth="1"/>
    <col min="2" max="2" width="9.140625" style="137"/>
    <col min="3" max="3" width="12.5703125" style="138" bestFit="1" customWidth="1"/>
  </cols>
  <sheetData>
    <row r="2" spans="1:3" x14ac:dyDescent="0.25">
      <c r="C2" s="138" t="s">
        <v>0</v>
      </c>
    </row>
    <row r="3" spans="1:3" ht="15.75" x14ac:dyDescent="0.25">
      <c r="A3" s="161" t="s">
        <v>1</v>
      </c>
      <c r="B3" s="159" t="s">
        <v>2</v>
      </c>
    </row>
    <row r="4" spans="1:3" ht="15.75" x14ac:dyDescent="0.25">
      <c r="A4" s="135" t="s">
        <v>3</v>
      </c>
      <c r="B4" s="137">
        <v>360</v>
      </c>
      <c r="C4" s="138">
        <f>B4*400</f>
        <v>144000</v>
      </c>
    </row>
    <row r="5" spans="1:3" ht="15.75" x14ac:dyDescent="0.25">
      <c r="A5" s="135" t="s">
        <v>4</v>
      </c>
      <c r="B5" s="137">
        <v>1</v>
      </c>
      <c r="C5" s="138">
        <v>80000</v>
      </c>
    </row>
    <row r="6" spans="1:3" ht="15.75" x14ac:dyDescent="0.25">
      <c r="A6" s="135" t="s">
        <v>5</v>
      </c>
      <c r="B6" s="137">
        <v>1</v>
      </c>
      <c r="C6" s="138">
        <v>30000</v>
      </c>
    </row>
    <row r="7" spans="1:3" ht="15.75" x14ac:dyDescent="0.25">
      <c r="A7" s="135" t="s">
        <v>6</v>
      </c>
      <c r="C7" s="138">
        <v>12000</v>
      </c>
    </row>
    <row r="8" spans="1:3" ht="15.75" x14ac:dyDescent="0.25">
      <c r="A8" s="133" t="s">
        <v>7</v>
      </c>
    </row>
    <row r="9" spans="1:3" ht="15.75" x14ac:dyDescent="0.25">
      <c r="A9" s="134" t="s">
        <v>8</v>
      </c>
      <c r="B9" s="137">
        <v>1</v>
      </c>
      <c r="C9" s="138" t="s">
        <v>9</v>
      </c>
    </row>
    <row r="10" spans="1:3" x14ac:dyDescent="0.25">
      <c r="B10" s="159" t="s">
        <v>10</v>
      </c>
      <c r="C10" s="160">
        <f>SUM(C4:C9)</f>
        <v>266000</v>
      </c>
    </row>
    <row r="11" spans="1:3" ht="15.75" x14ac:dyDescent="0.25">
      <c r="A11" s="161" t="s">
        <v>11</v>
      </c>
      <c r="B11" s="159" t="s">
        <v>2</v>
      </c>
    </row>
    <row r="12" spans="1:3" ht="15.75" x14ac:dyDescent="0.25">
      <c r="A12" s="135" t="s">
        <v>12</v>
      </c>
      <c r="B12" s="137">
        <v>1080</v>
      </c>
      <c r="C12" s="138">
        <f>B12*400</f>
        <v>432000</v>
      </c>
    </row>
    <row r="13" spans="1:3" ht="15.75" x14ac:dyDescent="0.25">
      <c r="A13" s="135" t="s">
        <v>13</v>
      </c>
    </row>
    <row r="14" spans="1:3" ht="15.75" x14ac:dyDescent="0.25">
      <c r="A14" s="135" t="s">
        <v>14</v>
      </c>
    </row>
    <row r="15" spans="1:3" ht="15.75" x14ac:dyDescent="0.25">
      <c r="A15" s="135" t="s">
        <v>15</v>
      </c>
      <c r="B15" s="137">
        <v>3</v>
      </c>
      <c r="C15" s="138">
        <v>160000</v>
      </c>
    </row>
    <row r="16" spans="1:3" ht="15.75" x14ac:dyDescent="0.25">
      <c r="A16" s="135" t="s">
        <v>16</v>
      </c>
      <c r="B16" s="137">
        <v>3</v>
      </c>
      <c r="C16" s="138">
        <v>60000</v>
      </c>
    </row>
    <row r="17" spans="1:3" ht="15.75" x14ac:dyDescent="0.25">
      <c r="A17" s="135" t="s">
        <v>17</v>
      </c>
      <c r="C17" s="138">
        <v>24000</v>
      </c>
    </row>
    <row r="18" spans="1:3" ht="15.75" x14ac:dyDescent="0.25">
      <c r="A18" s="133" t="s">
        <v>7</v>
      </c>
    </row>
    <row r="19" spans="1:3" x14ac:dyDescent="0.25">
      <c r="B19" s="159" t="s">
        <v>10</v>
      </c>
      <c r="C19" s="160">
        <f>SUM(C12:C18)</f>
        <v>676000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55FFD-8F99-4684-9F6C-482E218773C8}">
  <sheetPr>
    <tabColor theme="4" tint="-0.499984740745262"/>
  </sheetPr>
  <dimension ref="A1:AQ89"/>
  <sheetViews>
    <sheetView tabSelected="1" topLeftCell="A23" zoomScaleNormal="100" workbookViewId="0">
      <selection activeCell="C23" sqref="C23"/>
    </sheetView>
  </sheetViews>
  <sheetFormatPr defaultRowHeight="15" x14ac:dyDescent="0.25"/>
  <cols>
    <col min="1" max="1" width="40.5703125" bestFit="1" customWidth="1"/>
    <col min="2" max="2" width="14.28515625" bestFit="1" customWidth="1"/>
    <col min="3" max="3" width="16.42578125" customWidth="1"/>
    <col min="4" max="14" width="14.85546875" bestFit="1" customWidth="1"/>
    <col min="15" max="15" width="16.85546875" bestFit="1" customWidth="1"/>
    <col min="16" max="22" width="14.85546875" bestFit="1" customWidth="1"/>
    <col min="23" max="28" width="16.85546875" bestFit="1" customWidth="1"/>
    <col min="29" max="29" width="7.7109375" bestFit="1" customWidth="1"/>
    <col min="30" max="43" width="16.28515625" bestFit="1" customWidth="1"/>
  </cols>
  <sheetData>
    <row r="1" spans="1:43" x14ac:dyDescent="0.25">
      <c r="A1" s="279" t="s">
        <v>171</v>
      </c>
      <c r="B1" s="280"/>
      <c r="C1" s="280"/>
      <c r="D1" s="280"/>
      <c r="E1" s="280"/>
      <c r="F1" s="280"/>
      <c r="G1" s="280"/>
      <c r="H1" s="280"/>
      <c r="I1" s="280"/>
      <c r="J1" s="280"/>
      <c r="K1" s="280"/>
      <c r="L1" s="280"/>
      <c r="M1" s="280"/>
      <c r="N1" s="280"/>
      <c r="O1" s="280"/>
      <c r="P1" s="280"/>
      <c r="Q1" s="281"/>
    </row>
    <row r="2" spans="1:43" x14ac:dyDescent="0.25">
      <c r="A2" s="282"/>
      <c r="B2" s="283"/>
      <c r="C2" s="283"/>
      <c r="D2" s="283"/>
      <c r="E2" s="283"/>
      <c r="F2" s="283"/>
      <c r="G2" s="283"/>
      <c r="H2" s="283"/>
      <c r="I2" s="283"/>
      <c r="J2" s="283"/>
      <c r="K2" s="283"/>
      <c r="L2" s="283"/>
      <c r="M2" s="283"/>
      <c r="N2" s="283"/>
      <c r="O2" s="283"/>
      <c r="P2" s="283"/>
      <c r="Q2" s="284"/>
    </row>
    <row r="3" spans="1:43" x14ac:dyDescent="0.25">
      <c r="A3" s="282"/>
      <c r="B3" s="283"/>
      <c r="C3" s="283"/>
      <c r="D3" s="283"/>
      <c r="E3" s="283"/>
      <c r="F3" s="283"/>
      <c r="G3" s="283"/>
      <c r="H3" s="283"/>
      <c r="I3" s="283"/>
      <c r="J3" s="283"/>
      <c r="K3" s="283"/>
      <c r="L3" s="283"/>
      <c r="M3" s="283"/>
      <c r="N3" s="283"/>
      <c r="O3" s="283"/>
      <c r="P3" s="283"/>
      <c r="Q3" s="284"/>
    </row>
    <row r="4" spans="1:43" ht="15.75" thickBot="1" x14ac:dyDescent="0.3">
      <c r="A4" s="285"/>
      <c r="B4" s="286"/>
      <c r="C4" s="286"/>
      <c r="D4" s="286"/>
      <c r="E4" s="286"/>
      <c r="F4" s="286"/>
      <c r="G4" s="286"/>
      <c r="H4" s="286"/>
      <c r="I4" s="286"/>
      <c r="J4" s="286"/>
      <c r="K4" s="286"/>
      <c r="L4" s="286"/>
      <c r="M4" s="286"/>
      <c r="N4" s="286"/>
      <c r="O4" s="286"/>
      <c r="P4" s="286"/>
      <c r="Q4" s="287"/>
    </row>
    <row r="5" spans="1:43" ht="16.5" thickBot="1" x14ac:dyDescent="0.3">
      <c r="A5" s="263" t="s">
        <v>61</v>
      </c>
      <c r="E5" s="181"/>
    </row>
    <row r="6" spans="1:43" ht="16.5" thickBot="1" x14ac:dyDescent="0.3">
      <c r="A6" s="266">
        <v>80000</v>
      </c>
      <c r="E6" s="181"/>
    </row>
    <row r="7" spans="1:43" ht="16.5" thickBot="1" x14ac:dyDescent="0.3">
      <c r="A7" s="54"/>
      <c r="B7" s="55"/>
    </row>
    <row r="8" spans="1:43" ht="16.5" thickBot="1" x14ac:dyDescent="0.3">
      <c r="A8" s="25" t="s">
        <v>145</v>
      </c>
      <c r="B8" s="260">
        <v>700000</v>
      </c>
      <c r="C8" s="27"/>
      <c r="D8" s="27"/>
      <c r="E8" s="27"/>
      <c r="F8" s="27"/>
      <c r="G8" s="27"/>
      <c r="H8" s="27"/>
      <c r="I8" s="27"/>
      <c r="J8" s="27"/>
      <c r="K8" s="27"/>
      <c r="L8" s="27"/>
      <c r="M8" s="27"/>
      <c r="N8" s="27"/>
      <c r="O8" s="27"/>
    </row>
    <row r="9" spans="1:43" ht="16.5" thickBot="1" x14ac:dyDescent="0.3">
      <c r="A9" s="25" t="s">
        <v>34</v>
      </c>
      <c r="B9" s="260">
        <v>115000</v>
      </c>
      <c r="C9" s="27"/>
      <c r="D9" s="27"/>
      <c r="E9" s="27"/>
      <c r="F9" s="27"/>
      <c r="G9" s="27"/>
      <c r="H9" s="27"/>
      <c r="I9" s="27"/>
      <c r="J9" s="27"/>
      <c r="K9" s="27"/>
      <c r="L9" s="27"/>
      <c r="M9" s="27"/>
      <c r="N9" s="27"/>
      <c r="O9" s="27"/>
    </row>
    <row r="10" spans="1:43" ht="16.5" thickBot="1" x14ac:dyDescent="0.3">
      <c r="A10" s="30" t="s">
        <v>63</v>
      </c>
      <c r="B10" s="261">
        <v>20000</v>
      </c>
      <c r="C10" s="56" t="s">
        <v>35</v>
      </c>
      <c r="D10" s="263" t="s">
        <v>23</v>
      </c>
      <c r="E10" s="27"/>
      <c r="F10" s="27"/>
      <c r="G10" s="27"/>
      <c r="H10" s="27"/>
      <c r="I10" s="27"/>
      <c r="J10" s="27"/>
      <c r="K10" s="27"/>
      <c r="L10" s="27"/>
      <c r="M10" s="27"/>
      <c r="N10" s="27"/>
      <c r="O10" s="27"/>
    </row>
    <row r="11" spans="1:43" ht="16.5" thickBot="1" x14ac:dyDescent="0.3">
      <c r="A11" s="30" t="s">
        <v>19</v>
      </c>
      <c r="B11" s="261">
        <v>800</v>
      </c>
      <c r="C11" s="27">
        <v>120</v>
      </c>
      <c r="D11" s="27">
        <v>3250</v>
      </c>
      <c r="E11" s="27"/>
      <c r="F11" s="27"/>
      <c r="G11" s="27"/>
      <c r="H11" s="27"/>
      <c r="I11" s="27"/>
      <c r="J11" s="27"/>
      <c r="K11" s="27"/>
      <c r="L11" s="27"/>
      <c r="M11" s="27"/>
      <c r="N11" s="27"/>
      <c r="O11" s="27"/>
      <c r="AJ11" s="220" t="s">
        <v>19</v>
      </c>
      <c r="AK11" s="221">
        <v>800</v>
      </c>
      <c r="AL11" s="27">
        <v>200</v>
      </c>
      <c r="AM11" s="27">
        <v>3600</v>
      </c>
    </row>
    <row r="12" spans="1:43" ht="16.5" thickBot="1" x14ac:dyDescent="0.3">
      <c r="A12" s="259" t="s">
        <v>146</v>
      </c>
      <c r="B12" s="262">
        <v>875</v>
      </c>
      <c r="C12" s="27"/>
      <c r="D12" s="27"/>
      <c r="E12" s="27"/>
      <c r="F12" s="27"/>
      <c r="G12" s="27"/>
      <c r="H12" s="27"/>
      <c r="I12" s="27"/>
      <c r="J12" s="27"/>
      <c r="K12" s="27"/>
      <c r="L12" s="27"/>
      <c r="M12" s="27"/>
      <c r="N12" s="27"/>
      <c r="O12" s="27"/>
      <c r="AJ12" s="71" t="s">
        <v>159</v>
      </c>
    </row>
    <row r="13" spans="1:43" ht="16.5" thickBot="1" x14ac:dyDescent="0.3">
      <c r="A13" s="27"/>
      <c r="B13" s="166">
        <v>45839</v>
      </c>
      <c r="C13" s="166">
        <v>45870</v>
      </c>
      <c r="D13" s="166">
        <v>45901</v>
      </c>
      <c r="E13" s="166">
        <v>45931</v>
      </c>
      <c r="F13" s="166">
        <v>45962</v>
      </c>
      <c r="G13" s="166">
        <v>45992</v>
      </c>
      <c r="H13" s="166">
        <v>46023</v>
      </c>
      <c r="I13" s="166">
        <v>46054</v>
      </c>
      <c r="J13" s="166">
        <v>46082</v>
      </c>
      <c r="K13" s="166">
        <v>46113</v>
      </c>
      <c r="L13" s="166">
        <v>46143</v>
      </c>
      <c r="M13" s="166">
        <v>46174</v>
      </c>
      <c r="N13" s="166">
        <v>46204</v>
      </c>
      <c r="O13" s="166"/>
      <c r="P13" s="166">
        <v>46235</v>
      </c>
      <c r="Q13" s="166">
        <v>46266</v>
      </c>
      <c r="R13" s="166">
        <v>46296</v>
      </c>
      <c r="S13" s="166">
        <v>46327</v>
      </c>
      <c r="T13" s="166">
        <v>46357</v>
      </c>
      <c r="U13" s="166">
        <v>46388</v>
      </c>
      <c r="V13" s="166">
        <v>46419</v>
      </c>
      <c r="W13" s="166">
        <v>46447</v>
      </c>
      <c r="X13" s="166">
        <v>46478</v>
      </c>
      <c r="Y13" s="166">
        <v>46508</v>
      </c>
      <c r="Z13" s="166">
        <v>46539</v>
      </c>
      <c r="AA13" s="166">
        <v>46569</v>
      </c>
      <c r="AB13" s="166">
        <v>46600</v>
      </c>
      <c r="AC13" s="166"/>
      <c r="AD13" s="166">
        <v>46631</v>
      </c>
      <c r="AE13" s="166">
        <v>46661</v>
      </c>
      <c r="AF13" s="166">
        <v>46692</v>
      </c>
      <c r="AG13" s="166">
        <v>46722</v>
      </c>
      <c r="AH13" s="166">
        <v>46753</v>
      </c>
      <c r="AI13" s="166">
        <v>46784</v>
      </c>
      <c r="AJ13" s="195">
        <v>46813</v>
      </c>
      <c r="AK13" s="166">
        <v>46844</v>
      </c>
      <c r="AL13" s="166">
        <v>46874</v>
      </c>
      <c r="AM13" s="166">
        <v>46905</v>
      </c>
      <c r="AN13" s="166">
        <v>46935</v>
      </c>
      <c r="AO13" s="166">
        <v>46966</v>
      </c>
      <c r="AP13" s="166">
        <v>46997</v>
      </c>
    </row>
    <row r="14" spans="1:43" ht="16.5" thickBot="1" x14ac:dyDescent="0.3">
      <c r="A14" s="169" t="s">
        <v>64</v>
      </c>
      <c r="B14" s="170" t="s">
        <v>41</v>
      </c>
      <c r="C14" s="32" t="s">
        <v>42</v>
      </c>
      <c r="D14" s="32" t="s">
        <v>43</v>
      </c>
      <c r="E14" s="32" t="s">
        <v>44</v>
      </c>
      <c r="F14" s="32" t="s">
        <v>65</v>
      </c>
      <c r="G14" s="32" t="s">
        <v>66</v>
      </c>
      <c r="H14" s="32" t="s">
        <v>67</v>
      </c>
      <c r="I14" s="32" t="s">
        <v>68</v>
      </c>
      <c r="J14" s="32" t="s">
        <v>69</v>
      </c>
      <c r="K14" s="32" t="s">
        <v>70</v>
      </c>
      <c r="L14" s="32" t="s">
        <v>71</v>
      </c>
      <c r="M14" s="32" t="s">
        <v>72</v>
      </c>
      <c r="N14" s="32" t="s">
        <v>73</v>
      </c>
      <c r="O14" s="151" t="s">
        <v>74</v>
      </c>
      <c r="P14" s="170" t="s">
        <v>41</v>
      </c>
      <c r="Q14" s="32" t="s">
        <v>42</v>
      </c>
      <c r="R14" s="32" t="s">
        <v>43</v>
      </c>
      <c r="S14" s="32" t="s">
        <v>44</v>
      </c>
      <c r="T14" s="32" t="s">
        <v>65</v>
      </c>
      <c r="U14" s="32" t="s">
        <v>66</v>
      </c>
      <c r="V14" s="32" t="s">
        <v>67</v>
      </c>
      <c r="W14" s="32" t="s">
        <v>68</v>
      </c>
      <c r="X14" s="32" t="s">
        <v>69</v>
      </c>
      <c r="Y14" s="32" t="s">
        <v>70</v>
      </c>
      <c r="Z14" s="32" t="s">
        <v>71</v>
      </c>
      <c r="AA14" s="32" t="s">
        <v>72</v>
      </c>
      <c r="AB14" s="32" t="s">
        <v>73</v>
      </c>
      <c r="AC14" s="151" t="s">
        <v>74</v>
      </c>
      <c r="AD14" s="170" t="s">
        <v>41</v>
      </c>
      <c r="AE14" s="32" t="s">
        <v>42</v>
      </c>
      <c r="AF14" s="32" t="s">
        <v>43</v>
      </c>
      <c r="AG14" s="32" t="s">
        <v>44</v>
      </c>
      <c r="AH14" s="32" t="s">
        <v>65</v>
      </c>
      <c r="AI14" s="32" t="s">
        <v>66</v>
      </c>
      <c r="AJ14" s="219" t="s">
        <v>67</v>
      </c>
      <c r="AK14" s="32" t="s">
        <v>68</v>
      </c>
      <c r="AL14" s="32" t="s">
        <v>69</v>
      </c>
      <c r="AM14" s="32" t="s">
        <v>70</v>
      </c>
      <c r="AN14" s="32" t="s">
        <v>71</v>
      </c>
      <c r="AO14" s="32" t="s">
        <v>72</v>
      </c>
      <c r="AP14" s="32" t="s">
        <v>73</v>
      </c>
      <c r="AQ14" s="151" t="s">
        <v>74</v>
      </c>
    </row>
    <row r="15" spans="1:43" ht="16.5" thickBot="1" x14ac:dyDescent="0.3">
      <c r="A15" s="51" t="s">
        <v>75</v>
      </c>
      <c r="B15" s="171">
        <v>1</v>
      </c>
      <c r="C15" s="171">
        <v>1</v>
      </c>
      <c r="D15" s="171">
        <v>1</v>
      </c>
      <c r="E15" s="171">
        <v>1</v>
      </c>
      <c r="F15" s="171">
        <v>1</v>
      </c>
      <c r="G15" s="171">
        <v>1</v>
      </c>
      <c r="H15" s="171">
        <v>1</v>
      </c>
      <c r="I15" s="171">
        <v>1</v>
      </c>
      <c r="J15" s="33"/>
      <c r="K15" s="33"/>
      <c r="L15" s="33"/>
      <c r="M15" s="33"/>
      <c r="N15" s="33"/>
      <c r="O15" s="152"/>
      <c r="P15" s="171"/>
      <c r="Q15" s="33"/>
      <c r="R15" s="33"/>
      <c r="S15" s="33"/>
      <c r="T15" s="33"/>
      <c r="U15" s="33"/>
      <c r="V15" s="33"/>
      <c r="W15" s="33"/>
      <c r="X15" s="33"/>
      <c r="Y15" s="33"/>
      <c r="Z15" s="33"/>
      <c r="AA15" s="33"/>
      <c r="AB15" s="33"/>
      <c r="AC15" s="152"/>
      <c r="AD15" s="171"/>
      <c r="AE15" s="33"/>
      <c r="AF15" s="33"/>
      <c r="AG15" s="33"/>
      <c r="AH15" s="33"/>
      <c r="AI15" s="33"/>
      <c r="AJ15" s="197"/>
      <c r="AK15" s="33"/>
      <c r="AL15" s="33"/>
      <c r="AM15" s="33"/>
      <c r="AN15" s="33"/>
      <c r="AO15" s="33"/>
      <c r="AP15" s="33"/>
      <c r="AQ15" s="152"/>
    </row>
    <row r="16" spans="1:43" ht="16.5" thickBot="1" x14ac:dyDescent="0.3">
      <c r="A16" s="51" t="s">
        <v>76</v>
      </c>
      <c r="B16" s="171">
        <v>360</v>
      </c>
      <c r="C16" s="171">
        <v>360</v>
      </c>
      <c r="D16" s="171">
        <v>360</v>
      </c>
      <c r="E16" s="171">
        <v>360</v>
      </c>
      <c r="F16" s="171">
        <v>360</v>
      </c>
      <c r="G16" s="171">
        <v>360</v>
      </c>
      <c r="H16" s="171">
        <v>360</v>
      </c>
      <c r="I16" s="171">
        <v>360</v>
      </c>
      <c r="J16" s="33"/>
      <c r="K16" s="33"/>
      <c r="L16" s="33"/>
      <c r="M16" s="33"/>
      <c r="N16" s="33"/>
      <c r="O16" s="152"/>
      <c r="P16" s="171"/>
      <c r="Q16" s="33"/>
      <c r="R16" s="33"/>
      <c r="S16" s="33"/>
      <c r="T16" s="33"/>
      <c r="U16" s="33"/>
      <c r="V16" s="33"/>
      <c r="W16" s="33"/>
      <c r="X16" s="33"/>
      <c r="Y16" s="33"/>
      <c r="Z16" s="33"/>
      <c r="AA16" s="33"/>
      <c r="AB16" s="33"/>
      <c r="AC16" s="152"/>
      <c r="AD16" s="171"/>
      <c r="AE16" s="33"/>
      <c r="AF16" s="33"/>
      <c r="AG16" s="33"/>
      <c r="AH16" s="33"/>
      <c r="AI16" s="33"/>
      <c r="AJ16" s="197">
        <v>2600</v>
      </c>
      <c r="AK16" s="33"/>
      <c r="AL16" s="33"/>
      <c r="AM16" s="33"/>
      <c r="AN16" s="33"/>
      <c r="AO16" s="33"/>
      <c r="AP16" s="33"/>
      <c r="AQ16" s="152"/>
    </row>
    <row r="17" spans="1:43" ht="16.5" thickBot="1" x14ac:dyDescent="0.3">
      <c r="A17" s="53" t="s">
        <v>152</v>
      </c>
      <c r="B17" s="171">
        <v>1</v>
      </c>
      <c r="C17" s="171">
        <v>1</v>
      </c>
      <c r="D17" s="171">
        <v>1</v>
      </c>
      <c r="E17" s="171">
        <v>1</v>
      </c>
      <c r="F17" s="171">
        <v>1</v>
      </c>
      <c r="G17" s="171">
        <v>1</v>
      </c>
      <c r="H17" s="171">
        <v>1</v>
      </c>
      <c r="I17" s="171">
        <v>1</v>
      </c>
      <c r="J17" s="33"/>
      <c r="K17" s="33"/>
      <c r="L17" s="33"/>
      <c r="M17" s="33"/>
      <c r="N17" s="33"/>
      <c r="O17" s="152"/>
      <c r="P17" s="171"/>
      <c r="Q17" s="33"/>
      <c r="R17" s="33"/>
      <c r="S17" s="33"/>
      <c r="T17" s="33"/>
      <c r="U17" s="33"/>
      <c r="V17" s="33"/>
      <c r="W17" s="33"/>
      <c r="X17" s="33"/>
      <c r="Y17" s="33"/>
      <c r="Z17" s="33"/>
      <c r="AA17" s="33"/>
      <c r="AB17" s="33"/>
      <c r="AC17" s="152"/>
      <c r="AD17" s="171"/>
      <c r="AE17" s="33"/>
      <c r="AF17" s="33"/>
      <c r="AG17" s="33"/>
      <c r="AH17" s="33"/>
      <c r="AI17" s="33"/>
      <c r="AJ17" s="197"/>
      <c r="AK17" s="33"/>
      <c r="AL17" s="33"/>
      <c r="AM17" s="33"/>
      <c r="AN17" s="33"/>
      <c r="AO17" s="33"/>
      <c r="AP17" s="33"/>
      <c r="AQ17" s="152"/>
    </row>
    <row r="18" spans="1:43" ht="16.5" thickBot="1" x14ac:dyDescent="0.3">
      <c r="A18" s="169" t="s">
        <v>78</v>
      </c>
      <c r="B18" s="170" t="s">
        <v>41</v>
      </c>
      <c r="C18" s="32" t="s">
        <v>42</v>
      </c>
      <c r="D18" s="32" t="s">
        <v>43</v>
      </c>
      <c r="E18" s="32" t="s">
        <v>44</v>
      </c>
      <c r="F18" s="32" t="s">
        <v>65</v>
      </c>
      <c r="G18" s="32" t="s">
        <v>66</v>
      </c>
      <c r="H18" s="32" t="s">
        <v>67</v>
      </c>
      <c r="I18" s="32" t="s">
        <v>68</v>
      </c>
      <c r="J18" s="32" t="s">
        <v>69</v>
      </c>
      <c r="K18" s="32" t="s">
        <v>70</v>
      </c>
      <c r="L18" s="32" t="s">
        <v>71</v>
      </c>
      <c r="M18" s="32" t="s">
        <v>72</v>
      </c>
      <c r="N18" s="32" t="s">
        <v>73</v>
      </c>
      <c r="O18" s="153"/>
      <c r="P18" s="170" t="s">
        <v>41</v>
      </c>
      <c r="Q18" s="32" t="s">
        <v>42</v>
      </c>
      <c r="R18" s="32" t="s">
        <v>43</v>
      </c>
      <c r="S18" s="32" t="s">
        <v>44</v>
      </c>
      <c r="T18" s="32" t="s">
        <v>65</v>
      </c>
      <c r="U18" s="32" t="s">
        <v>66</v>
      </c>
      <c r="V18" s="32" t="s">
        <v>67</v>
      </c>
      <c r="W18" s="32" t="s">
        <v>68</v>
      </c>
      <c r="X18" s="32" t="s">
        <v>69</v>
      </c>
      <c r="Y18" s="32" t="s">
        <v>70</v>
      </c>
      <c r="Z18" s="32" t="s">
        <v>71</v>
      </c>
      <c r="AA18" s="32" t="s">
        <v>72</v>
      </c>
      <c r="AB18" s="32" t="s">
        <v>73</v>
      </c>
      <c r="AC18" s="153"/>
      <c r="AD18" s="170" t="s">
        <v>41</v>
      </c>
      <c r="AE18" s="32" t="s">
        <v>42</v>
      </c>
      <c r="AF18" s="32" t="s">
        <v>43</v>
      </c>
      <c r="AG18" s="32" t="s">
        <v>44</v>
      </c>
      <c r="AH18" s="32" t="s">
        <v>65</v>
      </c>
      <c r="AI18" s="32" t="s">
        <v>66</v>
      </c>
      <c r="AJ18" s="219" t="s">
        <v>67</v>
      </c>
      <c r="AK18" s="32" t="s">
        <v>68</v>
      </c>
      <c r="AL18" s="32" t="s">
        <v>69</v>
      </c>
      <c r="AM18" s="32" t="s">
        <v>70</v>
      </c>
      <c r="AN18" s="32" t="s">
        <v>71</v>
      </c>
      <c r="AO18" s="32" t="s">
        <v>72</v>
      </c>
      <c r="AP18" s="32" t="s">
        <v>73</v>
      </c>
      <c r="AQ18" s="153"/>
    </row>
    <row r="19" spans="1:43" ht="16.5" thickBot="1" x14ac:dyDescent="0.3">
      <c r="A19" s="28" t="s">
        <v>79</v>
      </c>
      <c r="B19" s="171">
        <v>1</v>
      </c>
      <c r="C19" s="33">
        <v>2</v>
      </c>
      <c r="D19" s="33">
        <v>3</v>
      </c>
      <c r="E19" s="33">
        <v>4</v>
      </c>
      <c r="F19" s="33">
        <v>5</v>
      </c>
      <c r="G19" s="33">
        <v>6</v>
      </c>
      <c r="H19" s="33">
        <v>7</v>
      </c>
      <c r="I19" s="33">
        <v>8</v>
      </c>
      <c r="J19" s="33">
        <v>8</v>
      </c>
      <c r="K19" s="33">
        <v>8</v>
      </c>
      <c r="L19" s="33">
        <v>8</v>
      </c>
      <c r="M19" s="33">
        <v>8</v>
      </c>
      <c r="N19" s="33">
        <v>8</v>
      </c>
      <c r="O19" s="152"/>
      <c r="P19" s="33">
        <v>8</v>
      </c>
      <c r="Q19" s="33">
        <v>8</v>
      </c>
      <c r="R19" s="33">
        <v>8</v>
      </c>
      <c r="S19" s="33">
        <v>8</v>
      </c>
      <c r="T19" s="33">
        <v>8</v>
      </c>
      <c r="U19" s="33">
        <v>8</v>
      </c>
      <c r="V19" s="33">
        <v>8</v>
      </c>
      <c r="W19" s="33">
        <v>8</v>
      </c>
      <c r="X19" s="33">
        <v>8</v>
      </c>
      <c r="Y19" s="33">
        <v>8</v>
      </c>
      <c r="Z19" s="33">
        <v>8</v>
      </c>
      <c r="AA19" s="33">
        <v>8</v>
      </c>
      <c r="AB19" s="33">
        <v>8</v>
      </c>
      <c r="AC19" s="152"/>
      <c r="AD19" s="33">
        <v>8</v>
      </c>
      <c r="AE19" s="33">
        <v>8</v>
      </c>
      <c r="AF19" s="33">
        <v>8</v>
      </c>
      <c r="AG19" s="33">
        <v>8</v>
      </c>
      <c r="AH19" s="33">
        <v>8</v>
      </c>
      <c r="AI19" s="33">
        <v>8</v>
      </c>
      <c r="AJ19" s="197">
        <v>8</v>
      </c>
      <c r="AK19" s="33">
        <v>8</v>
      </c>
      <c r="AL19" s="33">
        <v>8</v>
      </c>
      <c r="AM19" s="33">
        <v>8</v>
      </c>
      <c r="AN19" s="33">
        <v>8</v>
      </c>
      <c r="AO19" s="33">
        <v>8</v>
      </c>
      <c r="AP19" s="33">
        <v>8</v>
      </c>
      <c r="AQ19" s="152"/>
    </row>
    <row r="20" spans="1:43" ht="16.5" thickBot="1" x14ac:dyDescent="0.3">
      <c r="A20" s="30" t="s">
        <v>80</v>
      </c>
      <c r="B20" s="172">
        <v>360</v>
      </c>
      <c r="C20" s="113">
        <v>720</v>
      </c>
      <c r="D20" s="113">
        <v>1080</v>
      </c>
      <c r="E20" s="113">
        <v>1440</v>
      </c>
      <c r="F20" s="113">
        <v>1800</v>
      </c>
      <c r="G20" s="113">
        <v>2160</v>
      </c>
      <c r="H20" s="113">
        <v>2520</v>
      </c>
      <c r="I20" s="113">
        <v>2880</v>
      </c>
      <c r="J20" s="113">
        <v>2880</v>
      </c>
      <c r="K20" s="113">
        <v>2880</v>
      </c>
      <c r="L20" s="113">
        <v>2880</v>
      </c>
      <c r="M20" s="113">
        <v>2880</v>
      </c>
      <c r="N20" s="113">
        <v>2880</v>
      </c>
      <c r="O20" s="152"/>
      <c r="P20" s="113">
        <v>2880</v>
      </c>
      <c r="Q20" s="113">
        <v>2880</v>
      </c>
      <c r="R20" s="113">
        <v>2880</v>
      </c>
      <c r="S20" s="113">
        <v>2880</v>
      </c>
      <c r="T20" s="113">
        <v>2880</v>
      </c>
      <c r="U20" s="113">
        <v>2880</v>
      </c>
      <c r="V20" s="113">
        <v>2880</v>
      </c>
      <c r="W20" s="113">
        <v>2880</v>
      </c>
      <c r="X20" s="113">
        <v>2880</v>
      </c>
      <c r="Y20" s="113">
        <v>2880</v>
      </c>
      <c r="Z20" s="113">
        <v>2880</v>
      </c>
      <c r="AA20" s="113">
        <v>2880</v>
      </c>
      <c r="AB20" s="113">
        <v>2880</v>
      </c>
      <c r="AC20" s="152"/>
      <c r="AD20" s="113">
        <v>2880</v>
      </c>
      <c r="AE20" s="113">
        <v>2880</v>
      </c>
      <c r="AF20" s="113">
        <v>2880</v>
      </c>
      <c r="AG20" s="113">
        <v>2880</v>
      </c>
      <c r="AH20" s="113">
        <v>2880</v>
      </c>
      <c r="AI20" s="113">
        <v>2880</v>
      </c>
      <c r="AJ20" s="198">
        <v>2600</v>
      </c>
      <c r="AK20" s="113">
        <v>2600</v>
      </c>
      <c r="AL20" s="113">
        <v>2600</v>
      </c>
      <c r="AM20" s="113">
        <v>2600</v>
      </c>
      <c r="AN20" s="113">
        <v>2600</v>
      </c>
      <c r="AO20" s="113">
        <v>2600</v>
      </c>
      <c r="AP20" s="113">
        <v>2600</v>
      </c>
      <c r="AQ20" s="152"/>
    </row>
    <row r="21" spans="1:43" ht="16.5" thickBot="1" x14ac:dyDescent="0.3">
      <c r="A21" s="28" t="s">
        <v>153</v>
      </c>
      <c r="B21" s="171">
        <v>1</v>
      </c>
      <c r="C21" s="33">
        <v>2</v>
      </c>
      <c r="D21" s="33">
        <v>3</v>
      </c>
      <c r="E21" s="33">
        <v>4</v>
      </c>
      <c r="F21" s="33">
        <v>5</v>
      </c>
      <c r="G21" s="33">
        <v>6</v>
      </c>
      <c r="H21" s="33">
        <v>7</v>
      </c>
      <c r="I21" s="33">
        <v>8</v>
      </c>
      <c r="J21" s="33">
        <v>8</v>
      </c>
      <c r="K21" s="33">
        <v>8</v>
      </c>
      <c r="L21" s="33">
        <v>8</v>
      </c>
      <c r="M21" s="33">
        <v>8</v>
      </c>
      <c r="N21" s="33">
        <v>8</v>
      </c>
      <c r="O21" s="152"/>
      <c r="P21" s="33">
        <v>8</v>
      </c>
      <c r="Q21" s="33">
        <v>8</v>
      </c>
      <c r="R21" s="33">
        <v>8</v>
      </c>
      <c r="S21" s="33">
        <v>8</v>
      </c>
      <c r="T21" s="33">
        <v>8</v>
      </c>
      <c r="U21" s="33">
        <v>8</v>
      </c>
      <c r="V21" s="33">
        <v>8</v>
      </c>
      <c r="W21" s="33">
        <v>8</v>
      </c>
      <c r="X21" s="33">
        <v>8</v>
      </c>
      <c r="Y21" s="33">
        <v>8</v>
      </c>
      <c r="Z21" s="33">
        <v>8</v>
      </c>
      <c r="AA21" s="33">
        <v>8</v>
      </c>
      <c r="AB21" s="33">
        <v>8</v>
      </c>
      <c r="AC21" s="152"/>
      <c r="AD21" s="33">
        <v>8</v>
      </c>
      <c r="AE21" s="33">
        <v>8</v>
      </c>
      <c r="AF21" s="33">
        <v>8</v>
      </c>
      <c r="AG21" s="33">
        <v>8</v>
      </c>
      <c r="AH21" s="33">
        <v>8</v>
      </c>
      <c r="AI21" s="33">
        <v>8</v>
      </c>
      <c r="AJ21" s="197">
        <v>8</v>
      </c>
      <c r="AK21" s="33">
        <v>8</v>
      </c>
      <c r="AL21" s="33">
        <v>8</v>
      </c>
      <c r="AM21" s="33">
        <v>8</v>
      </c>
      <c r="AN21" s="33">
        <v>8</v>
      </c>
      <c r="AO21" s="33">
        <v>8</v>
      </c>
      <c r="AP21" s="33">
        <v>8</v>
      </c>
      <c r="AQ21" s="152"/>
    </row>
    <row r="22" spans="1:43" ht="16.5" thickBot="1" x14ac:dyDescent="0.3">
      <c r="A22" s="30" t="s">
        <v>81</v>
      </c>
      <c r="B22" s="173">
        <v>1.17</v>
      </c>
      <c r="C22" s="40">
        <v>2.34</v>
      </c>
      <c r="D22" s="40">
        <v>3.51</v>
      </c>
      <c r="E22" s="40">
        <v>4.68</v>
      </c>
      <c r="F22" s="40">
        <v>5.85</v>
      </c>
      <c r="G22" s="40">
        <v>7.02</v>
      </c>
      <c r="H22" s="40">
        <v>8.19</v>
      </c>
      <c r="I22" s="40">
        <v>9.36</v>
      </c>
      <c r="J22" s="40">
        <v>9.36</v>
      </c>
      <c r="K22" s="40">
        <v>9.36</v>
      </c>
      <c r="L22" s="40">
        <v>9.36</v>
      </c>
      <c r="M22" s="40">
        <v>9.36</v>
      </c>
      <c r="N22" s="40">
        <v>9.36</v>
      </c>
      <c r="O22" s="154"/>
      <c r="P22" s="40">
        <v>9.36</v>
      </c>
      <c r="Q22" s="40">
        <v>9.36</v>
      </c>
      <c r="R22" s="40">
        <v>9.36</v>
      </c>
      <c r="S22" s="40">
        <v>9.36</v>
      </c>
      <c r="T22" s="40">
        <v>9.36</v>
      </c>
      <c r="U22" s="40">
        <v>9.36</v>
      </c>
      <c r="V22" s="40">
        <v>9.36</v>
      </c>
      <c r="W22" s="40">
        <v>9.36</v>
      </c>
      <c r="X22" s="40">
        <v>9.36</v>
      </c>
      <c r="Y22" s="40">
        <v>9.36</v>
      </c>
      <c r="Z22" s="40">
        <v>9.36</v>
      </c>
      <c r="AA22" s="40">
        <v>9.36</v>
      </c>
      <c r="AB22" s="40">
        <v>9.36</v>
      </c>
      <c r="AC22" s="154"/>
      <c r="AD22" s="40">
        <v>9.36</v>
      </c>
      <c r="AE22" s="40">
        <v>9.36</v>
      </c>
      <c r="AF22" s="40">
        <v>9.36</v>
      </c>
      <c r="AG22" s="40">
        <v>9.36</v>
      </c>
      <c r="AH22" s="40">
        <v>9.36</v>
      </c>
      <c r="AI22" s="40">
        <v>9.36</v>
      </c>
      <c r="AJ22" s="199">
        <v>8.4499999999999993</v>
      </c>
      <c r="AK22" s="40">
        <v>8.4499999999999993</v>
      </c>
      <c r="AL22" s="40">
        <v>8.4499999999999993</v>
      </c>
      <c r="AM22" s="40">
        <v>8.4499999999999993</v>
      </c>
      <c r="AN22" s="40">
        <v>8.4499999999999993</v>
      </c>
      <c r="AO22" s="40">
        <v>8.4499999999999993</v>
      </c>
      <c r="AP22" s="40">
        <v>8.4499999999999993</v>
      </c>
      <c r="AQ22" s="154"/>
    </row>
    <row r="23" spans="1:43" ht="16.5" thickBot="1" x14ac:dyDescent="0.3">
      <c r="A23" s="30" t="s">
        <v>82</v>
      </c>
      <c r="B23" s="174">
        <v>43.2</v>
      </c>
      <c r="C23" s="165">
        <v>86.4</v>
      </c>
      <c r="D23" s="165">
        <v>129.6</v>
      </c>
      <c r="E23" s="165">
        <v>172.8</v>
      </c>
      <c r="F23" s="165">
        <v>216</v>
      </c>
      <c r="G23" s="165">
        <v>259.2</v>
      </c>
      <c r="H23" s="165">
        <v>302.39999999999998</v>
      </c>
      <c r="I23" s="165">
        <v>345.6</v>
      </c>
      <c r="J23" s="165">
        <v>345.6</v>
      </c>
      <c r="K23" s="165">
        <v>345.6</v>
      </c>
      <c r="L23" s="165">
        <v>345.6</v>
      </c>
      <c r="M23" s="165">
        <v>345.6</v>
      </c>
      <c r="N23" s="165">
        <v>345.6</v>
      </c>
      <c r="O23" s="165"/>
      <c r="P23" s="165">
        <v>345.6</v>
      </c>
      <c r="Q23" s="165">
        <v>345.6</v>
      </c>
      <c r="R23" s="165">
        <v>345.6</v>
      </c>
      <c r="S23" s="165">
        <v>345.6</v>
      </c>
      <c r="T23" s="165">
        <v>345.6</v>
      </c>
      <c r="U23" s="165">
        <v>345.6</v>
      </c>
      <c r="V23" s="165">
        <v>345.6</v>
      </c>
      <c r="W23" s="165">
        <v>345.6</v>
      </c>
      <c r="X23" s="165">
        <v>345.6</v>
      </c>
      <c r="Y23" s="165">
        <v>345.6</v>
      </c>
      <c r="Z23" s="165">
        <v>345.6</v>
      </c>
      <c r="AA23" s="165">
        <v>345.6</v>
      </c>
      <c r="AB23" s="165">
        <v>345.6</v>
      </c>
      <c r="AC23" s="152"/>
      <c r="AD23" s="165">
        <v>345.6</v>
      </c>
      <c r="AE23" s="165">
        <v>345.6</v>
      </c>
      <c r="AF23" s="165">
        <v>345.6</v>
      </c>
      <c r="AG23" s="165">
        <v>345.6</v>
      </c>
      <c r="AH23" s="165">
        <v>345.6</v>
      </c>
      <c r="AI23" s="165">
        <v>345.6</v>
      </c>
      <c r="AJ23" s="200">
        <v>312</v>
      </c>
      <c r="AK23" s="165">
        <v>312</v>
      </c>
      <c r="AL23" s="165">
        <v>312</v>
      </c>
      <c r="AM23" s="165">
        <v>312</v>
      </c>
      <c r="AN23" s="165">
        <v>312</v>
      </c>
      <c r="AO23" s="165">
        <v>312</v>
      </c>
      <c r="AP23" s="165">
        <v>312</v>
      </c>
      <c r="AQ23" s="152"/>
    </row>
    <row r="24" spans="1:43" ht="16.5" thickBot="1" x14ac:dyDescent="0.3">
      <c r="A24" s="30" t="s">
        <v>83</v>
      </c>
      <c r="B24" s="188">
        <v>43200</v>
      </c>
      <c r="C24" s="188">
        <v>86400</v>
      </c>
      <c r="D24" s="188">
        <v>129600</v>
      </c>
      <c r="E24" s="188">
        <v>172800</v>
      </c>
      <c r="F24" s="188">
        <v>216000</v>
      </c>
      <c r="G24" s="188">
        <v>259200</v>
      </c>
      <c r="H24" s="188">
        <v>302400</v>
      </c>
      <c r="I24" s="188">
        <v>345600</v>
      </c>
      <c r="J24" s="188">
        <v>345600</v>
      </c>
      <c r="K24" s="188">
        <v>345600</v>
      </c>
      <c r="L24" s="188">
        <v>345600</v>
      </c>
      <c r="M24" s="188">
        <v>345600</v>
      </c>
      <c r="N24" s="188">
        <v>345600</v>
      </c>
      <c r="O24" s="155"/>
      <c r="P24" s="188">
        <v>345600</v>
      </c>
      <c r="Q24" s="188">
        <v>345600</v>
      </c>
      <c r="R24" s="188">
        <v>345600</v>
      </c>
      <c r="S24" s="188">
        <v>345600</v>
      </c>
      <c r="T24" s="188">
        <v>345600</v>
      </c>
      <c r="U24" s="188">
        <v>345600</v>
      </c>
      <c r="V24" s="188">
        <v>345600</v>
      </c>
      <c r="W24" s="188">
        <v>345600</v>
      </c>
      <c r="X24" s="188">
        <v>345600</v>
      </c>
      <c r="Y24" s="188">
        <v>345600</v>
      </c>
      <c r="Z24" s="188">
        <v>345600</v>
      </c>
      <c r="AA24" s="188">
        <v>345600</v>
      </c>
      <c r="AB24" s="188">
        <v>345600</v>
      </c>
      <c r="AC24" s="155"/>
      <c r="AD24" s="188">
        <v>345600</v>
      </c>
      <c r="AE24" s="188">
        <v>345600</v>
      </c>
      <c r="AF24" s="188">
        <v>345600</v>
      </c>
      <c r="AG24" s="188">
        <v>345600</v>
      </c>
      <c r="AH24" s="188">
        <v>345600</v>
      </c>
      <c r="AI24" s="188">
        <v>345600</v>
      </c>
      <c r="AJ24" s="201">
        <v>520000</v>
      </c>
      <c r="AK24" s="201">
        <v>520000</v>
      </c>
      <c r="AL24" s="201">
        <v>520000</v>
      </c>
      <c r="AM24" s="201">
        <v>520000</v>
      </c>
      <c r="AN24" s="201">
        <v>520000</v>
      </c>
      <c r="AO24" s="201">
        <v>520000</v>
      </c>
      <c r="AP24" s="201">
        <v>520000</v>
      </c>
      <c r="AQ24" s="155"/>
    </row>
    <row r="25" spans="1:43" ht="16.5" thickBot="1" x14ac:dyDescent="0.3">
      <c r="A25" s="27"/>
      <c r="B25" s="27"/>
      <c r="C25" s="27"/>
      <c r="D25" s="27"/>
      <c r="E25" s="27"/>
      <c r="F25" s="27"/>
      <c r="G25" s="27"/>
      <c r="H25" s="27"/>
      <c r="I25" s="27"/>
      <c r="J25" s="27"/>
      <c r="K25" s="27"/>
      <c r="L25" s="27"/>
      <c r="M25" s="27"/>
      <c r="N25" s="27"/>
      <c r="O25" s="27"/>
      <c r="AJ25" s="180"/>
    </row>
    <row r="26" spans="1:43" ht="15.75" x14ac:dyDescent="0.25">
      <c r="A26" s="34" t="s">
        <v>40</v>
      </c>
      <c r="B26" s="35" t="s">
        <v>41</v>
      </c>
      <c r="C26" s="35" t="s">
        <v>42</v>
      </c>
      <c r="D26" s="36" t="s">
        <v>43</v>
      </c>
      <c r="E26" s="35" t="s">
        <v>44</v>
      </c>
      <c r="F26" s="36" t="s">
        <v>65</v>
      </c>
      <c r="G26" s="35" t="s">
        <v>66</v>
      </c>
      <c r="H26" s="36" t="s">
        <v>67</v>
      </c>
      <c r="I26" s="35" t="s">
        <v>68</v>
      </c>
      <c r="J26" s="36" t="s">
        <v>69</v>
      </c>
      <c r="K26" s="35" t="s">
        <v>70</v>
      </c>
      <c r="L26" s="36" t="s">
        <v>71</v>
      </c>
      <c r="M26" s="36" t="s">
        <v>72</v>
      </c>
      <c r="N26" s="36" t="s">
        <v>73</v>
      </c>
      <c r="O26" s="36"/>
      <c r="P26" s="35" t="s">
        <v>41</v>
      </c>
      <c r="Q26" s="35" t="s">
        <v>42</v>
      </c>
      <c r="R26" s="36" t="s">
        <v>43</v>
      </c>
      <c r="S26" s="35" t="s">
        <v>44</v>
      </c>
      <c r="T26" s="36" t="s">
        <v>65</v>
      </c>
      <c r="U26" s="35" t="s">
        <v>66</v>
      </c>
      <c r="V26" s="36" t="s">
        <v>67</v>
      </c>
      <c r="W26" s="35" t="s">
        <v>68</v>
      </c>
      <c r="X26" s="36" t="s">
        <v>69</v>
      </c>
      <c r="Y26" s="35" t="s">
        <v>70</v>
      </c>
      <c r="Z26" s="36" t="s">
        <v>71</v>
      </c>
      <c r="AA26" s="36" t="s">
        <v>72</v>
      </c>
      <c r="AB26" s="36" t="s">
        <v>73</v>
      </c>
      <c r="AC26" s="36"/>
      <c r="AD26" s="35" t="s">
        <v>41</v>
      </c>
      <c r="AE26" s="35" t="s">
        <v>42</v>
      </c>
      <c r="AF26" s="36" t="s">
        <v>43</v>
      </c>
      <c r="AG26" s="35" t="s">
        <v>44</v>
      </c>
      <c r="AH26" s="36" t="s">
        <v>65</v>
      </c>
      <c r="AI26" s="35" t="s">
        <v>66</v>
      </c>
      <c r="AJ26" s="219" t="s">
        <v>67</v>
      </c>
      <c r="AK26" s="35" t="s">
        <v>68</v>
      </c>
      <c r="AL26" s="36" t="s">
        <v>69</v>
      </c>
      <c r="AM26" s="35" t="s">
        <v>70</v>
      </c>
      <c r="AN26" s="36" t="s">
        <v>71</v>
      </c>
      <c r="AO26" s="36" t="s">
        <v>72</v>
      </c>
      <c r="AP26" s="36" t="s">
        <v>73</v>
      </c>
      <c r="AQ26" s="36"/>
    </row>
    <row r="27" spans="1:43" ht="15.75" x14ac:dyDescent="0.25">
      <c r="A27" s="37" t="s">
        <v>18</v>
      </c>
      <c r="B27" s="18"/>
      <c r="C27" s="18"/>
      <c r="D27" s="19"/>
      <c r="E27" s="18"/>
      <c r="F27" s="19"/>
      <c r="G27" s="18"/>
      <c r="H27" s="19"/>
      <c r="I27" s="18"/>
      <c r="J27" s="19"/>
      <c r="K27" s="18"/>
      <c r="L27" s="19"/>
      <c r="M27" s="19"/>
      <c r="N27" s="19"/>
      <c r="O27" s="19"/>
      <c r="P27" s="18"/>
      <c r="Q27" s="18"/>
      <c r="R27" s="19"/>
      <c r="S27" s="18"/>
      <c r="T27" s="19"/>
      <c r="U27" s="18"/>
      <c r="V27" s="19"/>
      <c r="W27" s="18"/>
      <c r="X27" s="19"/>
      <c r="Y27" s="18"/>
      <c r="Z27" s="19"/>
      <c r="AA27" s="19"/>
      <c r="AB27" s="19"/>
      <c r="AC27" s="19"/>
      <c r="AD27" s="18"/>
      <c r="AE27" s="18"/>
      <c r="AF27" s="19"/>
      <c r="AG27" s="18"/>
      <c r="AH27" s="19"/>
      <c r="AI27" s="18"/>
      <c r="AJ27" s="202"/>
      <c r="AK27" s="18"/>
      <c r="AL27" s="19"/>
      <c r="AM27" s="18"/>
      <c r="AN27" s="19"/>
      <c r="AO27" s="19"/>
      <c r="AP27" s="19"/>
      <c r="AQ27" s="19"/>
    </row>
    <row r="28" spans="1:43" ht="15.75" x14ac:dyDescent="0.25">
      <c r="A28" s="38" t="s">
        <v>168</v>
      </c>
      <c r="B28" s="20"/>
      <c r="C28" s="20"/>
      <c r="D28" s="21"/>
      <c r="E28" s="20"/>
      <c r="F28" s="22"/>
      <c r="G28" s="20"/>
      <c r="H28" s="22"/>
      <c r="I28" s="20"/>
      <c r="J28" s="22"/>
      <c r="K28" s="20"/>
      <c r="L28" s="20"/>
      <c r="M28" s="20"/>
      <c r="N28" s="20"/>
      <c r="O28" s="20"/>
      <c r="P28" s="20"/>
      <c r="Q28" s="20"/>
      <c r="R28" s="21"/>
      <c r="S28" s="20"/>
      <c r="T28" s="21"/>
      <c r="U28" s="20"/>
      <c r="V28" s="21"/>
      <c r="W28" s="20"/>
      <c r="X28" s="21"/>
      <c r="Y28" s="20"/>
      <c r="Z28" s="20"/>
      <c r="AA28" s="20"/>
      <c r="AB28" s="20"/>
      <c r="AC28" s="20"/>
      <c r="AD28" s="20"/>
      <c r="AE28" s="20"/>
      <c r="AF28" s="21"/>
      <c r="AG28" s="20"/>
      <c r="AH28" s="21"/>
      <c r="AI28" s="20"/>
      <c r="AJ28" s="203"/>
      <c r="AK28" s="20"/>
      <c r="AL28" s="21"/>
      <c r="AM28" s="20"/>
      <c r="AN28" s="20"/>
      <c r="AO28" s="20"/>
      <c r="AP28" s="20"/>
      <c r="AQ28" s="20"/>
    </row>
    <row r="29" spans="1:43" ht="16.5" customHeight="1" x14ac:dyDescent="0.25">
      <c r="A29" s="9" t="s">
        <v>162</v>
      </c>
      <c r="B29" s="17">
        <v>700000</v>
      </c>
      <c r="C29" s="17">
        <v>700000</v>
      </c>
      <c r="D29" s="17">
        <v>700000</v>
      </c>
      <c r="E29" s="17">
        <v>700000</v>
      </c>
      <c r="F29" s="17">
        <v>700000</v>
      </c>
      <c r="G29" s="17">
        <v>700000</v>
      </c>
      <c r="H29" s="17">
        <v>700000</v>
      </c>
      <c r="I29" s="17">
        <v>700000</v>
      </c>
      <c r="J29" s="17"/>
      <c r="K29" s="17"/>
      <c r="L29" s="17"/>
      <c r="M29" s="17"/>
      <c r="N29" s="17"/>
      <c r="O29" s="24">
        <v>5600000</v>
      </c>
      <c r="P29" s="17"/>
      <c r="Q29" s="17"/>
      <c r="R29" s="17"/>
      <c r="S29" s="17"/>
      <c r="T29" s="17"/>
      <c r="U29" s="17"/>
      <c r="V29" s="17"/>
      <c r="W29" s="17"/>
      <c r="X29" s="17"/>
      <c r="Y29" s="17"/>
      <c r="Z29" s="17"/>
      <c r="AA29" s="17"/>
      <c r="AB29" s="17"/>
      <c r="AC29" s="17"/>
      <c r="AD29" s="17"/>
      <c r="AE29" s="17"/>
      <c r="AF29" s="17"/>
      <c r="AG29" s="17"/>
      <c r="AH29" s="17"/>
      <c r="AI29" s="17"/>
      <c r="AJ29" s="204"/>
      <c r="AK29" s="17"/>
      <c r="AL29" s="17"/>
      <c r="AM29" s="17"/>
      <c r="AN29" s="17"/>
      <c r="AO29" s="17"/>
      <c r="AP29" s="17"/>
      <c r="AQ29" s="17"/>
    </row>
    <row r="30" spans="1:43" ht="15.75" x14ac:dyDescent="0.25">
      <c r="A30" s="38" t="s">
        <v>169</v>
      </c>
      <c r="B30" s="20"/>
      <c r="C30" s="20"/>
      <c r="D30" s="21"/>
      <c r="E30" s="20"/>
      <c r="F30" s="22"/>
      <c r="G30" s="20"/>
      <c r="H30" s="22"/>
      <c r="I30" s="20"/>
      <c r="J30" s="22"/>
      <c r="K30" s="20"/>
      <c r="L30" s="20"/>
      <c r="M30" s="20"/>
      <c r="N30" s="20"/>
      <c r="O30" s="20"/>
      <c r="P30" s="20"/>
      <c r="Q30" s="20"/>
      <c r="R30" s="21"/>
      <c r="S30" s="20"/>
      <c r="T30" s="21"/>
      <c r="U30" s="20"/>
      <c r="V30" s="21"/>
      <c r="W30" s="20"/>
      <c r="X30" s="21"/>
      <c r="Y30" s="20"/>
      <c r="Z30" s="20"/>
      <c r="AA30" s="20"/>
      <c r="AB30" s="20"/>
      <c r="AC30" s="20"/>
      <c r="AD30" s="20"/>
      <c r="AE30" s="20"/>
      <c r="AF30" s="21"/>
      <c r="AG30" s="20"/>
      <c r="AH30" s="21"/>
      <c r="AI30" s="20"/>
      <c r="AJ30" s="203"/>
      <c r="AK30" s="20"/>
      <c r="AL30" s="21"/>
      <c r="AM30" s="20"/>
      <c r="AN30" s="20"/>
      <c r="AO30" s="20"/>
      <c r="AP30" s="20"/>
      <c r="AQ30" s="20"/>
    </row>
    <row r="31" spans="1:43" ht="15.75" x14ac:dyDescent="0.25">
      <c r="A31" s="9" t="s">
        <v>20</v>
      </c>
      <c r="B31" s="17">
        <v>95000</v>
      </c>
      <c r="C31" s="17">
        <v>95000</v>
      </c>
      <c r="D31" s="17">
        <v>95000</v>
      </c>
      <c r="E31" s="17">
        <v>95000</v>
      </c>
      <c r="F31" s="17">
        <v>95000</v>
      </c>
      <c r="G31" s="17">
        <v>95000</v>
      </c>
      <c r="H31" s="17">
        <v>95000</v>
      </c>
      <c r="I31" s="17">
        <v>95000</v>
      </c>
      <c r="J31" s="17">
        <v>0</v>
      </c>
      <c r="K31" s="17">
        <v>0</v>
      </c>
      <c r="L31" s="17">
        <v>0</v>
      </c>
      <c r="M31" s="17">
        <v>0</v>
      </c>
      <c r="N31" s="17">
        <v>0</v>
      </c>
      <c r="O31" s="17"/>
      <c r="P31" s="17">
        <v>0</v>
      </c>
      <c r="Q31" s="17">
        <v>0</v>
      </c>
      <c r="R31" s="17">
        <v>0</v>
      </c>
      <c r="S31" s="17">
        <v>0</v>
      </c>
      <c r="T31" s="17">
        <v>0</v>
      </c>
      <c r="U31" s="17">
        <v>0</v>
      </c>
      <c r="V31" s="17">
        <v>0</v>
      </c>
      <c r="W31" s="17">
        <v>0</v>
      </c>
      <c r="X31" s="17">
        <v>0</v>
      </c>
      <c r="Y31" s="17">
        <v>0</v>
      </c>
      <c r="Z31" s="17">
        <v>0</v>
      </c>
      <c r="AA31" s="17">
        <v>0</v>
      </c>
      <c r="AB31" s="17">
        <v>0</v>
      </c>
      <c r="AC31" s="17"/>
      <c r="AD31" s="17">
        <v>0</v>
      </c>
      <c r="AE31" s="17">
        <v>0</v>
      </c>
      <c r="AF31" s="17">
        <v>0</v>
      </c>
      <c r="AG31" s="17">
        <v>0</v>
      </c>
      <c r="AH31" s="17">
        <v>0</v>
      </c>
      <c r="AI31" s="17">
        <v>0</v>
      </c>
      <c r="AJ31" s="204">
        <v>0</v>
      </c>
      <c r="AK31" s="17">
        <v>0</v>
      </c>
      <c r="AL31" s="17">
        <v>0</v>
      </c>
      <c r="AM31" s="17">
        <v>0</v>
      </c>
      <c r="AN31" s="17">
        <v>0</v>
      </c>
      <c r="AO31" s="17">
        <v>0</v>
      </c>
      <c r="AP31" s="17">
        <v>0</v>
      </c>
      <c r="AQ31" s="17">
        <v>0</v>
      </c>
    </row>
    <row r="32" spans="1:43" ht="15.75" x14ac:dyDescent="0.25">
      <c r="A32" s="9" t="s">
        <v>19</v>
      </c>
      <c r="B32" s="23">
        <v>288000</v>
      </c>
      <c r="C32" s="23">
        <v>288000</v>
      </c>
      <c r="D32" s="23">
        <v>288000</v>
      </c>
      <c r="E32" s="23">
        <v>288000</v>
      </c>
      <c r="F32" s="23">
        <v>288000</v>
      </c>
      <c r="G32" s="23">
        <v>288000</v>
      </c>
      <c r="H32" s="23">
        <v>288000</v>
      </c>
      <c r="I32" s="23">
        <v>288000</v>
      </c>
      <c r="J32" s="23">
        <v>0</v>
      </c>
      <c r="K32" s="23">
        <v>0</v>
      </c>
      <c r="L32" s="23">
        <v>0</v>
      </c>
      <c r="M32" s="23">
        <v>0</v>
      </c>
      <c r="N32" s="23">
        <v>0</v>
      </c>
      <c r="O32" s="17"/>
      <c r="P32" s="23">
        <v>0</v>
      </c>
      <c r="Q32" s="23">
        <v>0</v>
      </c>
      <c r="R32" s="23">
        <v>0</v>
      </c>
      <c r="S32" s="23">
        <v>0</v>
      </c>
      <c r="T32" s="23">
        <v>0</v>
      </c>
      <c r="U32" s="23">
        <v>0</v>
      </c>
      <c r="V32" s="23">
        <v>0</v>
      </c>
      <c r="W32" s="23">
        <v>0</v>
      </c>
      <c r="X32" s="23">
        <v>0</v>
      </c>
      <c r="Y32" s="23">
        <v>0</v>
      </c>
      <c r="Z32" s="23">
        <v>0</v>
      </c>
      <c r="AA32" s="23">
        <v>0</v>
      </c>
      <c r="AB32" s="23">
        <v>0</v>
      </c>
      <c r="AC32" s="17"/>
      <c r="AD32" s="23">
        <v>0</v>
      </c>
      <c r="AE32" s="23">
        <v>0</v>
      </c>
      <c r="AF32" s="23">
        <v>0</v>
      </c>
      <c r="AG32" s="23">
        <v>0</v>
      </c>
      <c r="AH32" s="23">
        <v>0</v>
      </c>
      <c r="AI32" s="23">
        <v>0</v>
      </c>
      <c r="AJ32" s="205">
        <v>1852795.4692927641</v>
      </c>
      <c r="AK32" s="23">
        <v>0</v>
      </c>
      <c r="AL32" s="23">
        <v>0</v>
      </c>
      <c r="AM32" s="23">
        <v>0</v>
      </c>
      <c r="AN32" s="23">
        <v>0</v>
      </c>
      <c r="AO32" s="23">
        <v>0</v>
      </c>
      <c r="AP32" s="23">
        <v>0</v>
      </c>
      <c r="AQ32" s="17">
        <v>1852795.4692927641</v>
      </c>
    </row>
    <row r="33" spans="1:43" ht="15.75" x14ac:dyDescent="0.25">
      <c r="A33" s="9" t="s">
        <v>21</v>
      </c>
      <c r="B33" s="17">
        <v>20000</v>
      </c>
      <c r="C33" s="17">
        <v>20000</v>
      </c>
      <c r="D33" s="17">
        <v>20000</v>
      </c>
      <c r="E33" s="17">
        <v>20000</v>
      </c>
      <c r="F33" s="17">
        <v>20000</v>
      </c>
      <c r="G33" s="17">
        <v>20000</v>
      </c>
      <c r="H33" s="17">
        <v>20000</v>
      </c>
      <c r="I33" s="17">
        <v>20000</v>
      </c>
      <c r="J33" s="17">
        <v>0</v>
      </c>
      <c r="K33" s="17">
        <v>0</v>
      </c>
      <c r="L33" s="17">
        <v>0</v>
      </c>
      <c r="M33" s="17">
        <v>0</v>
      </c>
      <c r="N33" s="17">
        <v>0</v>
      </c>
      <c r="O33" s="17"/>
      <c r="P33" s="17">
        <v>0</v>
      </c>
      <c r="Q33" s="17">
        <v>0</v>
      </c>
      <c r="R33" s="17">
        <v>0</v>
      </c>
      <c r="S33" s="17">
        <v>0</v>
      </c>
      <c r="T33" s="17">
        <v>0</v>
      </c>
      <c r="U33" s="17">
        <v>0</v>
      </c>
      <c r="V33" s="17">
        <v>0</v>
      </c>
      <c r="W33" s="17">
        <v>0</v>
      </c>
      <c r="X33" s="17">
        <v>0</v>
      </c>
      <c r="Y33" s="17">
        <v>0</v>
      </c>
      <c r="Z33" s="17">
        <v>0</v>
      </c>
      <c r="AA33" s="17">
        <v>0</v>
      </c>
      <c r="AB33" s="17">
        <v>0</v>
      </c>
      <c r="AC33" s="17"/>
      <c r="AD33" s="17">
        <v>0</v>
      </c>
      <c r="AE33" s="17">
        <v>0</v>
      </c>
      <c r="AF33" s="17">
        <v>0</v>
      </c>
      <c r="AG33" s="17">
        <v>0</v>
      </c>
      <c r="AH33" s="17">
        <v>0</v>
      </c>
      <c r="AI33" s="17">
        <v>0</v>
      </c>
      <c r="AJ33" s="204">
        <v>0</v>
      </c>
      <c r="AK33" s="17">
        <v>0</v>
      </c>
      <c r="AL33" s="17">
        <v>0</v>
      </c>
      <c r="AM33" s="17">
        <v>0</v>
      </c>
      <c r="AN33" s="17">
        <v>0</v>
      </c>
      <c r="AO33" s="17">
        <v>0</v>
      </c>
      <c r="AP33" s="17">
        <v>0</v>
      </c>
      <c r="AQ33" s="17">
        <v>0</v>
      </c>
    </row>
    <row r="34" spans="1:43" ht="15.75" x14ac:dyDescent="0.25">
      <c r="A34" s="9" t="s">
        <v>53</v>
      </c>
      <c r="B34" s="23">
        <v>10000</v>
      </c>
      <c r="C34" s="23">
        <v>10000</v>
      </c>
      <c r="D34" s="23">
        <v>10000</v>
      </c>
      <c r="E34" s="23">
        <v>10000</v>
      </c>
      <c r="F34" s="23">
        <v>10000</v>
      </c>
      <c r="G34" s="23">
        <v>10000</v>
      </c>
      <c r="H34" s="23">
        <v>10000</v>
      </c>
      <c r="I34" s="23">
        <v>10000</v>
      </c>
      <c r="J34" s="23">
        <v>0</v>
      </c>
      <c r="K34" s="23">
        <v>0</v>
      </c>
      <c r="L34" s="23">
        <v>0</v>
      </c>
      <c r="M34" s="23">
        <v>0</v>
      </c>
      <c r="N34" s="23">
        <v>0</v>
      </c>
      <c r="O34" s="17"/>
      <c r="P34" s="23">
        <v>0</v>
      </c>
      <c r="Q34" s="23">
        <v>0</v>
      </c>
      <c r="R34" s="23">
        <v>0</v>
      </c>
      <c r="S34" s="23">
        <v>0</v>
      </c>
      <c r="T34" s="23">
        <v>0</v>
      </c>
      <c r="U34" s="23">
        <v>0</v>
      </c>
      <c r="V34" s="23">
        <v>0</v>
      </c>
      <c r="W34" s="23">
        <v>0</v>
      </c>
      <c r="X34" s="23">
        <v>0</v>
      </c>
      <c r="Y34" s="23">
        <v>0</v>
      </c>
      <c r="Z34" s="23">
        <v>0</v>
      </c>
      <c r="AA34" s="23">
        <v>0</v>
      </c>
      <c r="AB34" s="23">
        <v>0</v>
      </c>
      <c r="AC34" s="17"/>
      <c r="AD34" s="23">
        <v>0</v>
      </c>
      <c r="AE34" s="23">
        <v>0</v>
      </c>
      <c r="AF34" s="23">
        <v>0</v>
      </c>
      <c r="AG34" s="23">
        <v>0</v>
      </c>
      <c r="AH34" s="23">
        <v>0</v>
      </c>
      <c r="AI34" s="23">
        <v>0</v>
      </c>
      <c r="AJ34" s="205">
        <v>0</v>
      </c>
      <c r="AK34" s="23">
        <v>0</v>
      </c>
      <c r="AL34" s="23">
        <v>0</v>
      </c>
      <c r="AM34" s="23">
        <v>0</v>
      </c>
      <c r="AN34" s="23">
        <v>0</v>
      </c>
      <c r="AO34" s="23">
        <v>0</v>
      </c>
      <c r="AP34" s="23">
        <v>0</v>
      </c>
      <c r="AQ34" s="17">
        <v>0</v>
      </c>
    </row>
    <row r="35" spans="1:43" ht="15.75" x14ac:dyDescent="0.25">
      <c r="A35" s="9" t="s">
        <v>85</v>
      </c>
      <c r="B35" s="124">
        <v>16600</v>
      </c>
      <c r="C35" s="124">
        <v>16600</v>
      </c>
      <c r="D35" s="124">
        <v>16600</v>
      </c>
      <c r="E35" s="124">
        <v>16600</v>
      </c>
      <c r="F35" s="124">
        <v>16600</v>
      </c>
      <c r="G35" s="124">
        <v>16600</v>
      </c>
      <c r="H35" s="124">
        <v>16600</v>
      </c>
      <c r="I35" s="124">
        <v>16600</v>
      </c>
      <c r="J35" s="23">
        <v>0</v>
      </c>
      <c r="K35" s="23">
        <v>0</v>
      </c>
      <c r="L35" s="23">
        <v>0</v>
      </c>
      <c r="M35" s="23">
        <v>0</v>
      </c>
      <c r="N35" s="23">
        <v>0</v>
      </c>
      <c r="O35" s="17"/>
      <c r="P35" s="124">
        <v>0</v>
      </c>
      <c r="Q35" s="23">
        <v>0</v>
      </c>
      <c r="R35" s="23">
        <v>0</v>
      </c>
      <c r="S35" s="23">
        <v>0</v>
      </c>
      <c r="T35" s="23">
        <v>0</v>
      </c>
      <c r="U35" s="23">
        <v>0</v>
      </c>
      <c r="V35" s="23">
        <v>0</v>
      </c>
      <c r="W35" s="23">
        <v>0</v>
      </c>
      <c r="X35" s="23">
        <v>0</v>
      </c>
      <c r="Y35" s="23">
        <v>0</v>
      </c>
      <c r="Z35" s="23">
        <v>0</v>
      </c>
      <c r="AA35" s="23">
        <v>0</v>
      </c>
      <c r="AB35" s="23">
        <v>0</v>
      </c>
      <c r="AC35" s="17"/>
      <c r="AD35" s="124">
        <v>0</v>
      </c>
      <c r="AE35" s="23">
        <v>0</v>
      </c>
      <c r="AF35" s="23">
        <v>0</v>
      </c>
      <c r="AG35" s="23">
        <v>0</v>
      </c>
      <c r="AH35" s="23">
        <v>0</v>
      </c>
      <c r="AI35" s="23">
        <v>0</v>
      </c>
      <c r="AJ35" s="205">
        <v>0</v>
      </c>
      <c r="AK35" s="23">
        <v>0</v>
      </c>
      <c r="AL35" s="23">
        <v>0</v>
      </c>
      <c r="AM35" s="23">
        <v>0</v>
      </c>
      <c r="AN35" s="23">
        <v>0</v>
      </c>
      <c r="AO35" s="23">
        <v>0</v>
      </c>
      <c r="AP35" s="23">
        <v>0</v>
      </c>
      <c r="AQ35" s="17"/>
    </row>
    <row r="36" spans="1:43" ht="15.75" x14ac:dyDescent="0.25">
      <c r="A36" s="39" t="s">
        <v>57</v>
      </c>
      <c r="B36" s="24">
        <v>429600</v>
      </c>
      <c r="C36" s="24">
        <v>429600</v>
      </c>
      <c r="D36" s="24">
        <v>429600</v>
      </c>
      <c r="E36" s="24">
        <v>429600</v>
      </c>
      <c r="F36" s="24">
        <v>429600</v>
      </c>
      <c r="G36" s="24">
        <v>429600</v>
      </c>
      <c r="H36" s="24">
        <v>429600</v>
      </c>
      <c r="I36" s="24">
        <v>429600</v>
      </c>
      <c r="J36" s="24">
        <v>0</v>
      </c>
      <c r="K36" s="24">
        <v>0</v>
      </c>
      <c r="L36" s="24">
        <v>0</v>
      </c>
      <c r="M36" s="24">
        <v>0</v>
      </c>
      <c r="N36" s="24">
        <v>0</v>
      </c>
      <c r="O36" s="24">
        <v>3436800</v>
      </c>
      <c r="P36" s="24">
        <v>0</v>
      </c>
      <c r="Q36" s="24">
        <v>0</v>
      </c>
      <c r="R36" s="24">
        <v>0</v>
      </c>
      <c r="S36" s="24">
        <v>0</v>
      </c>
      <c r="T36" s="24">
        <v>0</v>
      </c>
      <c r="U36" s="24">
        <v>0</v>
      </c>
      <c r="V36" s="24">
        <v>0</v>
      </c>
      <c r="W36" s="24">
        <v>0</v>
      </c>
      <c r="X36" s="24">
        <v>0</v>
      </c>
      <c r="Y36" s="24">
        <v>0</v>
      </c>
      <c r="Z36" s="24">
        <v>0</v>
      </c>
      <c r="AA36" s="24">
        <v>0</v>
      </c>
      <c r="AB36" s="24">
        <v>0</v>
      </c>
      <c r="AC36" s="24"/>
      <c r="AD36" s="24">
        <v>0</v>
      </c>
      <c r="AE36" s="24">
        <v>0</v>
      </c>
      <c r="AF36" s="24">
        <v>0</v>
      </c>
      <c r="AG36" s="24">
        <v>0</v>
      </c>
      <c r="AH36" s="24">
        <v>0</v>
      </c>
      <c r="AI36" s="24">
        <v>0</v>
      </c>
      <c r="AJ36" s="206">
        <v>1852795.4692927641</v>
      </c>
      <c r="AK36" s="24">
        <v>0</v>
      </c>
      <c r="AL36" s="24">
        <v>0</v>
      </c>
      <c r="AM36" s="24">
        <v>0</v>
      </c>
      <c r="AN36" s="24">
        <v>0</v>
      </c>
      <c r="AO36" s="24">
        <v>0</v>
      </c>
      <c r="AP36" s="24">
        <v>0</v>
      </c>
      <c r="AQ36" s="24">
        <v>1852795.4692927641</v>
      </c>
    </row>
    <row r="37" spans="1:43" ht="16.5" thickBot="1" x14ac:dyDescent="0.3">
      <c r="A37" s="10"/>
      <c r="B37" s="17"/>
      <c r="C37" s="17"/>
      <c r="D37" s="16"/>
      <c r="E37" s="17"/>
      <c r="F37" s="8"/>
      <c r="G37" s="17"/>
      <c r="H37" s="8"/>
      <c r="I37" s="17"/>
      <c r="J37" s="8"/>
      <c r="K37" s="17"/>
      <c r="L37" s="8"/>
      <c r="M37" s="8"/>
      <c r="N37" s="8"/>
      <c r="O37" s="8"/>
      <c r="P37" s="17"/>
      <c r="Q37" s="17"/>
      <c r="R37" s="16"/>
      <c r="S37" s="17"/>
      <c r="T37" s="16"/>
      <c r="U37" s="17"/>
      <c r="V37" s="16"/>
      <c r="W37" s="17"/>
      <c r="X37" s="16"/>
      <c r="Y37" s="17"/>
      <c r="Z37" s="16"/>
      <c r="AA37" s="16"/>
      <c r="AB37" s="16"/>
      <c r="AC37" s="16"/>
      <c r="AD37" s="17"/>
      <c r="AE37" s="17"/>
      <c r="AF37" s="16"/>
      <c r="AG37" s="17"/>
      <c r="AH37" s="16"/>
      <c r="AI37" s="17"/>
      <c r="AJ37" s="207"/>
      <c r="AK37" s="17"/>
      <c r="AL37" s="16"/>
      <c r="AM37" s="17"/>
      <c r="AN37" s="16"/>
      <c r="AO37" s="16"/>
      <c r="AP37" s="16"/>
      <c r="AQ37" s="16"/>
    </row>
    <row r="38" spans="1:43" ht="16.5" thickBot="1" x14ac:dyDescent="0.3">
      <c r="A38" s="62" t="s">
        <v>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3"/>
      <c r="AC38" s="63"/>
      <c r="AD38" s="63"/>
      <c r="AE38" s="63"/>
      <c r="AF38" s="63"/>
      <c r="AG38" s="63"/>
      <c r="AH38" s="63"/>
      <c r="AI38" s="63"/>
      <c r="AJ38" s="208"/>
      <c r="AK38" s="63"/>
      <c r="AL38" s="63"/>
      <c r="AM38" s="63"/>
      <c r="AN38" s="63"/>
      <c r="AO38" s="63"/>
      <c r="AP38" s="63"/>
      <c r="AQ38" s="63"/>
    </row>
    <row r="39" spans="1:43" ht="15.75" x14ac:dyDescent="0.25">
      <c r="A39" s="67" t="s">
        <v>59</v>
      </c>
      <c r="B39" s="64">
        <v>875</v>
      </c>
      <c r="C39" s="64">
        <v>1750</v>
      </c>
      <c r="D39" s="64">
        <v>2625</v>
      </c>
      <c r="E39" s="64">
        <v>3500</v>
      </c>
      <c r="F39" s="64">
        <v>4375</v>
      </c>
      <c r="G39" s="64">
        <v>5250</v>
      </c>
      <c r="H39" s="64">
        <v>6125</v>
      </c>
      <c r="I39" s="64">
        <v>7000</v>
      </c>
      <c r="J39" s="64">
        <v>7000</v>
      </c>
      <c r="K39" s="64">
        <v>7000</v>
      </c>
      <c r="L39" s="64">
        <v>7000</v>
      </c>
      <c r="M39" s="64">
        <v>7000</v>
      </c>
      <c r="N39" s="64">
        <v>7000</v>
      </c>
      <c r="O39" s="64"/>
      <c r="P39" s="64">
        <v>7000</v>
      </c>
      <c r="Q39" s="64">
        <v>7000</v>
      </c>
      <c r="R39" s="64">
        <v>7000</v>
      </c>
      <c r="S39" s="64">
        <v>7000</v>
      </c>
      <c r="T39" s="64">
        <v>7000</v>
      </c>
      <c r="U39" s="64">
        <v>7000</v>
      </c>
      <c r="V39" s="64">
        <v>7000</v>
      </c>
      <c r="W39" s="64">
        <v>7000</v>
      </c>
      <c r="X39" s="64">
        <v>7000</v>
      </c>
      <c r="Y39" s="64">
        <v>7000</v>
      </c>
      <c r="Z39" s="64">
        <v>7000</v>
      </c>
      <c r="AA39" s="64">
        <v>7000</v>
      </c>
      <c r="AB39" s="64">
        <v>7000</v>
      </c>
      <c r="AC39" s="64"/>
      <c r="AD39" s="64">
        <v>7000</v>
      </c>
      <c r="AE39" s="64">
        <v>7000</v>
      </c>
      <c r="AF39" s="64">
        <v>7000</v>
      </c>
      <c r="AG39" s="64">
        <v>7000</v>
      </c>
      <c r="AH39" s="64">
        <v>7000</v>
      </c>
      <c r="AI39" s="64">
        <v>7000</v>
      </c>
      <c r="AJ39" s="209">
        <v>7000</v>
      </c>
      <c r="AK39" s="64">
        <v>7000</v>
      </c>
      <c r="AL39" s="64">
        <v>7000</v>
      </c>
      <c r="AM39" s="64">
        <v>7000</v>
      </c>
      <c r="AN39" s="64">
        <v>7000</v>
      </c>
      <c r="AO39" s="64">
        <v>7000</v>
      </c>
      <c r="AP39" s="64">
        <v>7000</v>
      </c>
      <c r="AQ39" s="64"/>
    </row>
    <row r="40" spans="1:43" ht="16.5" thickBot="1" x14ac:dyDescent="0.3">
      <c r="A40" s="68" t="s">
        <v>60</v>
      </c>
      <c r="B40" s="167">
        <v>875</v>
      </c>
      <c r="C40" s="69">
        <v>1750</v>
      </c>
      <c r="D40" s="69">
        <v>2625</v>
      </c>
      <c r="E40" s="60">
        <v>3500</v>
      </c>
      <c r="F40" s="69">
        <v>4375</v>
      </c>
      <c r="G40" s="60">
        <v>5250</v>
      </c>
      <c r="H40" s="69">
        <v>6125</v>
      </c>
      <c r="I40" s="60">
        <v>7000</v>
      </c>
      <c r="J40" s="69">
        <v>7000</v>
      </c>
      <c r="K40" s="60">
        <v>7000</v>
      </c>
      <c r="L40" s="69">
        <v>7000</v>
      </c>
      <c r="M40" s="69">
        <v>7000</v>
      </c>
      <c r="N40" s="70">
        <v>7000</v>
      </c>
      <c r="O40" s="168"/>
      <c r="P40" s="167">
        <v>7000</v>
      </c>
      <c r="Q40" s="69">
        <v>7000</v>
      </c>
      <c r="R40" s="69">
        <v>7000</v>
      </c>
      <c r="S40" s="60">
        <v>7000</v>
      </c>
      <c r="T40" s="69">
        <v>7000</v>
      </c>
      <c r="U40" s="60">
        <v>7000</v>
      </c>
      <c r="V40" s="69">
        <v>7000</v>
      </c>
      <c r="W40" s="60">
        <v>7000</v>
      </c>
      <c r="X40" s="69">
        <v>7000</v>
      </c>
      <c r="Y40" s="60">
        <v>7000</v>
      </c>
      <c r="Z40" s="69">
        <v>7000</v>
      </c>
      <c r="AA40" s="69">
        <v>7000</v>
      </c>
      <c r="AB40" s="70">
        <v>7000</v>
      </c>
      <c r="AC40" s="168"/>
      <c r="AD40" s="167">
        <v>7000</v>
      </c>
      <c r="AE40" s="69">
        <v>7000</v>
      </c>
      <c r="AF40" s="69">
        <v>7000</v>
      </c>
      <c r="AG40" s="60">
        <v>7000</v>
      </c>
      <c r="AH40" s="69">
        <v>7000</v>
      </c>
      <c r="AI40" s="60">
        <v>7000</v>
      </c>
      <c r="AJ40" s="210">
        <v>7000</v>
      </c>
      <c r="AK40" s="60">
        <v>7000</v>
      </c>
      <c r="AL40" s="69">
        <v>7000</v>
      </c>
      <c r="AM40" s="60">
        <v>7000</v>
      </c>
      <c r="AN40" s="69">
        <v>7000</v>
      </c>
      <c r="AO40" s="69">
        <v>7000</v>
      </c>
      <c r="AP40" s="70">
        <v>7000</v>
      </c>
      <c r="AQ40" s="168"/>
    </row>
    <row r="41" spans="1:43" ht="16.5" thickBot="1" x14ac:dyDescent="0.3">
      <c r="A41" s="46" t="s">
        <v>46</v>
      </c>
      <c r="B41" s="32" t="s">
        <v>41</v>
      </c>
      <c r="C41" s="32" t="s">
        <v>42</v>
      </c>
      <c r="D41" s="32" t="s">
        <v>43</v>
      </c>
      <c r="E41" s="32" t="s">
        <v>44</v>
      </c>
      <c r="F41" s="32" t="s">
        <v>65</v>
      </c>
      <c r="G41" s="32" t="s">
        <v>66</v>
      </c>
      <c r="H41" s="32" t="s">
        <v>67</v>
      </c>
      <c r="I41" s="32" t="s">
        <v>68</v>
      </c>
      <c r="J41" s="32" t="s">
        <v>69</v>
      </c>
      <c r="K41" s="32" t="s">
        <v>70</v>
      </c>
      <c r="L41" s="32" t="s">
        <v>71</v>
      </c>
      <c r="M41" s="32" t="s">
        <v>72</v>
      </c>
      <c r="N41" s="32" t="s">
        <v>73</v>
      </c>
      <c r="O41" s="32" t="s">
        <v>86</v>
      </c>
      <c r="P41" s="32" t="s">
        <v>41</v>
      </c>
      <c r="Q41" s="32" t="s">
        <v>42</v>
      </c>
      <c r="R41" s="32" t="s">
        <v>43</v>
      </c>
      <c r="S41" s="32" t="s">
        <v>44</v>
      </c>
      <c r="T41" s="32" t="s">
        <v>65</v>
      </c>
      <c r="U41" s="32" t="s">
        <v>66</v>
      </c>
      <c r="V41" s="32" t="s">
        <v>67</v>
      </c>
      <c r="W41" s="32" t="s">
        <v>68</v>
      </c>
      <c r="X41" s="32" t="s">
        <v>69</v>
      </c>
      <c r="Y41" s="32" t="s">
        <v>70</v>
      </c>
      <c r="Z41" s="32" t="s">
        <v>71</v>
      </c>
      <c r="AA41" s="32" t="s">
        <v>72</v>
      </c>
      <c r="AB41" s="32" t="s">
        <v>73</v>
      </c>
      <c r="AC41" s="32" t="s">
        <v>86</v>
      </c>
      <c r="AD41" s="32" t="s">
        <v>41</v>
      </c>
      <c r="AE41" s="32" t="s">
        <v>42</v>
      </c>
      <c r="AF41" s="32" t="s">
        <v>43</v>
      </c>
      <c r="AG41" s="32" t="s">
        <v>44</v>
      </c>
      <c r="AH41" s="32" t="s">
        <v>65</v>
      </c>
      <c r="AI41" s="32" t="s">
        <v>66</v>
      </c>
      <c r="AJ41" s="219" t="s">
        <v>67</v>
      </c>
      <c r="AK41" s="32" t="s">
        <v>68</v>
      </c>
      <c r="AL41" s="32" t="s">
        <v>69</v>
      </c>
      <c r="AM41" s="32" t="s">
        <v>70</v>
      </c>
      <c r="AN41" s="32" t="s">
        <v>71</v>
      </c>
      <c r="AO41" s="32" t="s">
        <v>72</v>
      </c>
      <c r="AP41" s="32" t="s">
        <v>73</v>
      </c>
      <c r="AQ41" s="32" t="s">
        <v>86</v>
      </c>
    </row>
    <row r="42" spans="1:43" ht="15.75" x14ac:dyDescent="0.25">
      <c r="A42" s="182" t="s">
        <v>87</v>
      </c>
      <c r="B42" s="183">
        <v>120</v>
      </c>
      <c r="C42" s="184">
        <v>123.11458015902556</v>
      </c>
      <c r="D42" s="184">
        <v>126.30999873110942</v>
      </c>
      <c r="E42" s="184">
        <v>129.58835386389654</v>
      </c>
      <c r="F42" s="184">
        <v>132.95179816210717</v>
      </c>
      <c r="G42" s="184">
        <v>136.40254010096109</v>
      </c>
      <c r="H42" s="184">
        <v>139.94284547628726</v>
      </c>
      <c r="I42" s="184">
        <v>143.57503889227078</v>
      </c>
      <c r="J42" s="184">
        <v>147.30150528781402</v>
      </c>
      <c r="K42" s="184">
        <v>151.12469150251422</v>
      </c>
      <c r="L42" s="184">
        <v>155.0471078832858</v>
      </c>
      <c r="M42" s="184">
        <v>159.07132993268229</v>
      </c>
      <c r="N42" s="184">
        <v>163.20000000000013</v>
      </c>
      <c r="O42" s="183"/>
      <c r="P42" s="184">
        <v>167.43582901627488</v>
      </c>
      <c r="Q42" s="184">
        <v>171.78159827430892</v>
      </c>
      <c r="R42" s="184">
        <v>176.24016125489942</v>
      </c>
      <c r="S42" s="184">
        <v>180.81444550046587</v>
      </c>
      <c r="T42" s="184">
        <v>185.50745453730718</v>
      </c>
      <c r="U42" s="184">
        <v>190.32226984775079</v>
      </c>
      <c r="V42" s="184">
        <v>195.2620528934884</v>
      </c>
      <c r="W42" s="184">
        <v>200.33004719142721</v>
      </c>
      <c r="X42" s="184">
        <v>205.52958044341949</v>
      </c>
      <c r="Y42" s="184">
        <v>210.86406672126884</v>
      </c>
      <c r="Z42" s="184">
        <v>216.33700870844805</v>
      </c>
      <c r="AA42" s="184">
        <v>221.95200000000031</v>
      </c>
      <c r="AB42" s="184">
        <v>227.71272746213398</v>
      </c>
      <c r="AC42" s="183"/>
      <c r="AD42" s="184">
        <v>233.62297365306028</v>
      </c>
      <c r="AE42" s="184">
        <v>239.68661930666337</v>
      </c>
      <c r="AF42" s="184">
        <v>245.90764588063377</v>
      </c>
      <c r="AG42" s="184">
        <v>252.29013817073798</v>
      </c>
      <c r="AH42" s="184">
        <v>258.83828699294128</v>
      </c>
      <c r="AI42" s="184">
        <v>265.5563919351444</v>
      </c>
      <c r="AJ42" s="211">
        <v>272.44886418034122</v>
      </c>
      <c r="AK42" s="184">
        <v>279.52022940305073</v>
      </c>
      <c r="AL42" s="184">
        <v>286.77513074092587</v>
      </c>
      <c r="AM42" s="184">
        <v>294.21833184348958</v>
      </c>
      <c r="AN42" s="184">
        <v>301.85472000000067</v>
      </c>
      <c r="AO42" s="184">
        <v>309.68930934850249</v>
      </c>
      <c r="AP42" s="184">
        <v>317.72724416816226</v>
      </c>
      <c r="AQ42" s="183"/>
    </row>
    <row r="43" spans="1:43" s="138" customFormat="1" ht="15.75" x14ac:dyDescent="0.25">
      <c r="A43" s="185" t="s">
        <v>88</v>
      </c>
      <c r="B43" s="186">
        <v>80000</v>
      </c>
      <c r="C43" s="187">
        <v>81501.541209720483</v>
      </c>
      <c r="D43" s="187">
        <v>83031.265244497088</v>
      </c>
      <c r="E43" s="187">
        <v>84589.701075245146</v>
      </c>
      <c r="F43" s="187">
        <v>86177.387601275375</v>
      </c>
      <c r="G43" s="187">
        <v>87794.87383664251</v>
      </c>
      <c r="H43" s="187">
        <v>89442.719099991635</v>
      </c>
      <c r="I43" s="187">
        <v>91121.493207967782</v>
      </c>
      <c r="J43" s="187">
        <v>92831.776672255655</v>
      </c>
      <c r="K43" s="187">
        <v>94574.160900317671</v>
      </c>
      <c r="L43" s="187">
        <v>96349.248399899705</v>
      </c>
      <c r="M43" s="187">
        <v>98157.652987375273</v>
      </c>
      <c r="N43" s="187">
        <v>100000.00000000012</v>
      </c>
      <c r="O43" s="183"/>
      <c r="P43" s="187">
        <v>101876.92651215073</v>
      </c>
      <c r="Q43" s="187">
        <v>103789.08155562148</v>
      </c>
      <c r="R43" s="187">
        <v>105737.12634405657</v>
      </c>
      <c r="S43" s="187">
        <v>107721.73450159436</v>
      </c>
      <c r="T43" s="187">
        <v>109743.59229580328</v>
      </c>
      <c r="U43" s="187">
        <v>111803.39887498968</v>
      </c>
      <c r="V43" s="187">
        <v>113901.86650995986</v>
      </c>
      <c r="W43" s="187">
        <v>116039.7208403197</v>
      </c>
      <c r="X43" s="187">
        <v>118217.70112539722</v>
      </c>
      <c r="Y43" s="187">
        <v>120436.56049987477</v>
      </c>
      <c r="Z43" s="187">
        <v>122697.06623421924</v>
      </c>
      <c r="AA43" s="187">
        <v>125000.00000000029</v>
      </c>
      <c r="AB43" s="187">
        <v>127346.15814018856</v>
      </c>
      <c r="AC43" s="186"/>
      <c r="AD43" s="187">
        <v>129736.35194452701</v>
      </c>
      <c r="AE43" s="187">
        <v>132171.40793007085</v>
      </c>
      <c r="AF43" s="187">
        <v>134652.16812699309</v>
      </c>
      <c r="AG43" s="187">
        <v>137179.49036975423</v>
      </c>
      <c r="AH43" s="187">
        <v>139754.24859373725</v>
      </c>
      <c r="AI43" s="187">
        <v>142377.33313744998</v>
      </c>
      <c r="AJ43" s="212">
        <v>145049.65105039979</v>
      </c>
      <c r="AK43" s="187">
        <v>147772.12640674668</v>
      </c>
      <c r="AL43" s="187">
        <v>150545.70062484362</v>
      </c>
      <c r="AM43" s="187">
        <v>153371.33279277419</v>
      </c>
      <c r="AN43" s="187">
        <v>156250.00000000052</v>
      </c>
      <c r="AO43" s="187">
        <v>159182.69767523586</v>
      </c>
      <c r="AP43" s="187">
        <v>162170.4399306589</v>
      </c>
      <c r="AQ43" s="186"/>
    </row>
    <row r="44" spans="1:43" ht="15.75" x14ac:dyDescent="0.25">
      <c r="A44" s="43" t="s">
        <v>48</v>
      </c>
      <c r="B44" s="45"/>
      <c r="C44" s="45">
        <v>1.3235166577691377</v>
      </c>
      <c r="D44" s="45">
        <v>1.9350510564282657</v>
      </c>
      <c r="E44" s="45">
        <v>2.5147969365497214</v>
      </c>
      <c r="F44" s="45">
        <v>3.0639713021415371</v>
      </c>
      <c r="G44" s="45">
        <v>3.5837499257884282</v>
      </c>
      <c r="H44" s="45">
        <v>4.0752686559326117</v>
      </c>
      <c r="I44" s="45">
        <v>4.5396246843989836</v>
      </c>
      <c r="J44" s="45">
        <v>4.4247802447461941</v>
      </c>
      <c r="K44" s="45">
        <v>4.3128411653899263</v>
      </c>
      <c r="L44" s="45">
        <v>4.2037339458761904</v>
      </c>
      <c r="M44" s="45">
        <v>4.097386945181908</v>
      </c>
      <c r="N44" s="45">
        <v>3.9937303346746074</v>
      </c>
      <c r="O44" s="183"/>
      <c r="P44" s="45">
        <v>3.8926960522621674</v>
      </c>
      <c r="Q44" s="45">
        <v>3.7942177577024792</v>
      </c>
      <c r="R44" s="45">
        <v>3.6982307890437052</v>
      </c>
      <c r="S44" s="45">
        <v>3.6046721201665117</v>
      </c>
      <c r="T44" s="45">
        <v>3.5134803194004172</v>
      </c>
      <c r="U44" s="45">
        <v>3.4245955091870677</v>
      </c>
      <c r="V44" s="45">
        <v>3.337959326763956</v>
      </c>
      <c r="W44" s="45">
        <v>3.2535148858427867</v>
      </c>
      <c r="X44" s="45">
        <v>3.171206739257296</v>
      </c>
      <c r="Y44" s="45">
        <v>3.0909808425560206</v>
      </c>
      <c r="Z44" s="45">
        <v>3.0127845185161064</v>
      </c>
      <c r="AA44" s="45">
        <v>2.9365664225548564</v>
      </c>
      <c r="AB44" s="45">
        <v>2.862276509016298</v>
      </c>
      <c r="AC44" s="186"/>
      <c r="AD44" s="45">
        <v>2.7898659983106446</v>
      </c>
      <c r="AE44" s="45">
        <v>2.7192873448850756</v>
      </c>
      <c r="AF44" s="45">
        <v>2.6504942060047862</v>
      </c>
      <c r="AG44" s="45">
        <v>2.5834414113238346</v>
      </c>
      <c r="AH44" s="45">
        <v>2.5180849332257829</v>
      </c>
      <c r="AI44" s="45">
        <v>2.4543818579146719</v>
      </c>
      <c r="AJ44" s="213">
        <v>1.7997554770882778</v>
      </c>
      <c r="AK44" s="213">
        <v>1.7542248608704731</v>
      </c>
      <c r="AL44" s="213">
        <v>1.7098460883556403</v>
      </c>
      <c r="AM44" s="213">
        <v>1.6665900199444004</v>
      </c>
      <c r="AN44" s="213">
        <v>1.6244282532174692</v>
      </c>
      <c r="AO44" s="213">
        <v>1.5833331042863155</v>
      </c>
      <c r="AP44" s="213">
        <v>1.5432775896156026</v>
      </c>
      <c r="AQ44" s="186"/>
    </row>
    <row r="45" spans="1:43" ht="15.75" x14ac:dyDescent="0.25">
      <c r="A45" s="43" t="s">
        <v>89</v>
      </c>
      <c r="B45" s="45"/>
      <c r="C45" s="45">
        <v>1.191164991992224</v>
      </c>
      <c r="D45" s="45">
        <v>1.7415459507854392</v>
      </c>
      <c r="E45" s="45">
        <v>2.2633172428947494</v>
      </c>
      <c r="F45" s="45">
        <v>2.7575741719273834</v>
      </c>
      <c r="G45" s="45">
        <v>3.2253749332095856</v>
      </c>
      <c r="H45" s="45">
        <v>3.6677417903393508</v>
      </c>
      <c r="I45" s="45">
        <v>4.0856622159590854</v>
      </c>
      <c r="J45" s="45">
        <v>3.982302220271575</v>
      </c>
      <c r="K45" s="45">
        <v>3.8815570488509339</v>
      </c>
      <c r="L45" s="45">
        <v>3.7833605512885713</v>
      </c>
      <c r="M45" s="45">
        <v>3.6876482506637172</v>
      </c>
      <c r="N45" s="45">
        <v>3.5943573012071468</v>
      </c>
      <c r="O45" s="183"/>
      <c r="P45" s="45">
        <v>3.5034264470359506</v>
      </c>
      <c r="Q45" s="45">
        <v>3.4147959819322313</v>
      </c>
      <c r="R45" s="45">
        <v>3.3284077101393348</v>
      </c>
      <c r="S45" s="45">
        <v>3.2442049081498605</v>
      </c>
      <c r="T45" s="45">
        <v>3.1621322874603757</v>
      </c>
      <c r="U45" s="45">
        <v>3.0821359582683612</v>
      </c>
      <c r="V45" s="45">
        <v>3.0041633940875605</v>
      </c>
      <c r="W45" s="45">
        <v>2.9281633972585079</v>
      </c>
      <c r="X45" s="45">
        <v>2.8540860653315665</v>
      </c>
      <c r="Y45" s="45">
        <v>2.7818827583004184</v>
      </c>
      <c r="Z45" s="45">
        <v>2.7115060666644957</v>
      </c>
      <c r="AA45" s="45">
        <v>2.6429097802993708</v>
      </c>
      <c r="AB45" s="45">
        <v>2.5760488581146683</v>
      </c>
      <c r="AC45" s="186"/>
      <c r="AD45" s="45">
        <v>2.5108793984795801</v>
      </c>
      <c r="AE45" s="45">
        <v>2.4473586103965683</v>
      </c>
      <c r="AF45" s="45">
        <v>2.3854447854043075</v>
      </c>
      <c r="AG45" s="45">
        <v>2.3250972701914514</v>
      </c>
      <c r="AH45" s="45">
        <v>2.2662764399032045</v>
      </c>
      <c r="AI45" s="45">
        <v>2.2089436721232047</v>
      </c>
      <c r="AJ45" s="213">
        <v>1.6197799293794499</v>
      </c>
      <c r="AK45" s="45">
        <v>1.5788023747834259</v>
      </c>
      <c r="AL45" s="45">
        <v>1.5388614795200763</v>
      </c>
      <c r="AM45" s="45">
        <v>1.4999310179499603</v>
      </c>
      <c r="AN45" s="45">
        <v>1.4619854278957223</v>
      </c>
      <c r="AO45" s="45">
        <v>1.4249997938576839</v>
      </c>
      <c r="AP45" s="45">
        <v>1.3889498306540424</v>
      </c>
      <c r="AQ45" s="186"/>
    </row>
    <row r="46" spans="1:43" s="275" customFormat="1" ht="15.75" x14ac:dyDescent="0.25">
      <c r="A46" s="50" t="s">
        <v>90</v>
      </c>
      <c r="B46" s="42"/>
      <c r="C46" s="42">
        <v>97081.78268243061</v>
      </c>
      <c r="D46" s="42">
        <v>144602.76377514566</v>
      </c>
      <c r="E46" s="42">
        <v>191453.32901491487</v>
      </c>
      <c r="F46" s="42">
        <v>237640.5382534521</v>
      </c>
      <c r="G46" s="42">
        <v>283171.38533700485</v>
      </c>
      <c r="H46" s="42">
        <v>328052.79868462298</v>
      </c>
      <c r="I46" s="42">
        <v>372291.6418615664</v>
      </c>
      <c r="J46" s="42">
        <v>369684.19035367871</v>
      </c>
      <c r="K46" s="42">
        <v>367095.00088179042</v>
      </c>
      <c r="L46" s="42">
        <v>364523.94554248406</v>
      </c>
      <c r="M46" s="42">
        <v>361970.89732815063</v>
      </c>
      <c r="N46" s="42">
        <v>359435.7301207151</v>
      </c>
      <c r="O46" s="24">
        <v>3477004.0038359566</v>
      </c>
      <c r="P46" s="42">
        <v>356918.31868540688</v>
      </c>
      <c r="Q46" s="42">
        <v>354418.53866457287</v>
      </c>
      <c r="R46" s="42">
        <v>351936.26657153486</v>
      </c>
      <c r="S46" s="42">
        <v>349471.37978448858</v>
      </c>
      <c r="T46" s="42">
        <v>347023.7565404473</v>
      </c>
      <c r="U46" s="42">
        <v>344593.27592922613</v>
      </c>
      <c r="V46" s="42">
        <v>342179.81788746925</v>
      </c>
      <c r="W46" s="42">
        <v>339783.26319271943</v>
      </c>
      <c r="X46" s="42">
        <v>337403.49345752806</v>
      </c>
      <c r="Y46" s="42">
        <v>335040.39112360688</v>
      </c>
      <c r="Z46" s="42">
        <v>332693.83945602091</v>
      </c>
      <c r="AA46" s="42">
        <v>330363.72253742215</v>
      </c>
      <c r="AB46" s="42">
        <v>328049.92526232271</v>
      </c>
      <c r="AC46" s="42"/>
      <c r="AD46" s="42">
        <v>325752.33333140909</v>
      </c>
      <c r="AE46" s="42">
        <v>323470.83324589615</v>
      </c>
      <c r="AF46" s="42">
        <v>321205.31230191974</v>
      </c>
      <c r="AG46" s="42">
        <v>318955.65858497005</v>
      </c>
      <c r="AH46" s="42">
        <v>316721.7609643623</v>
      </c>
      <c r="AI46" s="42">
        <v>314503.5090877476</v>
      </c>
      <c r="AJ46" s="274">
        <v>234948.51353493042</v>
      </c>
      <c r="AK46" s="42">
        <v>233302.98409776826</v>
      </c>
      <c r="AL46" s="42">
        <v>231668.97959893334</v>
      </c>
      <c r="AM46" s="42">
        <v>230046.41932020793</v>
      </c>
      <c r="AN46" s="42">
        <v>228435.22310870737</v>
      </c>
      <c r="AO46" s="42">
        <v>226835.31137292113</v>
      </c>
      <c r="AP46" s="42">
        <v>225246.60507878024</v>
      </c>
      <c r="AQ46" s="42">
        <v>3205341.1102971444</v>
      </c>
    </row>
    <row r="47" spans="1:43" ht="16.5" thickBot="1" x14ac:dyDescent="0.3">
      <c r="A47" s="127"/>
      <c r="B47" s="191"/>
      <c r="C47" s="128"/>
      <c r="D47" s="128"/>
      <c r="E47" s="128"/>
      <c r="F47" s="128"/>
      <c r="G47" s="128"/>
      <c r="H47" s="128"/>
      <c r="I47" s="128"/>
      <c r="J47" s="128"/>
      <c r="K47" s="128"/>
      <c r="L47" s="128"/>
      <c r="M47" s="128"/>
      <c r="N47" s="128"/>
      <c r="O47" s="128"/>
      <c r="P47" s="189"/>
      <c r="Q47" s="189"/>
      <c r="R47" s="189"/>
      <c r="S47" s="189"/>
      <c r="T47" s="189"/>
      <c r="U47" s="189"/>
      <c r="V47" s="189"/>
      <c r="W47" s="189"/>
      <c r="X47" s="189"/>
      <c r="Y47" s="189"/>
      <c r="Z47" s="189"/>
      <c r="AA47" s="189"/>
      <c r="AB47" s="189"/>
      <c r="AC47" s="189"/>
      <c r="AD47" s="189"/>
      <c r="AE47" s="189"/>
      <c r="AF47" s="189"/>
      <c r="AG47" s="189"/>
      <c r="AH47" s="189"/>
      <c r="AI47" s="189"/>
      <c r="AJ47" s="215"/>
      <c r="AK47" s="189"/>
      <c r="AL47" s="189"/>
      <c r="AM47" s="189"/>
      <c r="AN47" s="189"/>
      <c r="AO47" s="189"/>
      <c r="AP47" s="189"/>
      <c r="AQ47" s="189"/>
    </row>
    <row r="48" spans="1:43" ht="16.5" thickBot="1" x14ac:dyDescent="0.3">
      <c r="A48" s="46" t="s">
        <v>91</v>
      </c>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c r="AH48" s="47"/>
      <c r="AI48" s="47"/>
      <c r="AJ48" s="208"/>
      <c r="AK48" s="47"/>
      <c r="AL48" s="47"/>
      <c r="AM48" s="47"/>
      <c r="AN48" s="47"/>
      <c r="AO48" s="47"/>
      <c r="AP48" s="47"/>
      <c r="AQ48" s="47"/>
    </row>
    <row r="49" spans="1:43" ht="16.5" thickBot="1" x14ac:dyDescent="0.3">
      <c r="A49" s="248" t="s">
        <v>173</v>
      </c>
      <c r="B49" s="245">
        <v>0.01</v>
      </c>
      <c r="C49" s="246">
        <v>16848</v>
      </c>
      <c r="D49" s="246">
        <v>25272.000000000004</v>
      </c>
      <c r="E49" s="246">
        <v>33696</v>
      </c>
      <c r="F49" s="246">
        <v>42120</v>
      </c>
      <c r="G49" s="246">
        <v>50544.000000000007</v>
      </c>
      <c r="H49" s="246">
        <v>58968.000000000007</v>
      </c>
      <c r="I49" s="246">
        <v>67392</v>
      </c>
      <c r="J49" s="246">
        <v>67392</v>
      </c>
      <c r="K49" s="246">
        <v>67392</v>
      </c>
      <c r="L49" s="246">
        <v>67392</v>
      </c>
      <c r="M49" s="246">
        <v>67392</v>
      </c>
      <c r="N49" s="246">
        <v>67392</v>
      </c>
      <c r="O49" s="251">
        <v>631800.01</v>
      </c>
      <c r="P49" s="246">
        <v>67392</v>
      </c>
      <c r="Q49" s="246">
        <v>67392</v>
      </c>
      <c r="R49" s="246">
        <v>67392</v>
      </c>
      <c r="S49" s="246">
        <v>67392</v>
      </c>
      <c r="T49" s="246">
        <v>67392</v>
      </c>
      <c r="U49" s="246">
        <v>67392</v>
      </c>
      <c r="V49" s="246">
        <v>67392</v>
      </c>
      <c r="W49" s="246">
        <v>67392</v>
      </c>
      <c r="X49" s="246">
        <v>67392</v>
      </c>
      <c r="Y49" s="246">
        <v>67392</v>
      </c>
      <c r="Z49" s="246">
        <v>67392</v>
      </c>
      <c r="AA49" s="246">
        <v>67392</v>
      </c>
      <c r="AB49" s="246">
        <v>67392</v>
      </c>
      <c r="AC49" s="178"/>
      <c r="AD49" s="246">
        <v>67392</v>
      </c>
      <c r="AE49" s="246">
        <v>67392</v>
      </c>
      <c r="AF49" s="246">
        <v>67392</v>
      </c>
      <c r="AG49" s="246">
        <v>67392</v>
      </c>
      <c r="AH49" s="246">
        <v>67392</v>
      </c>
      <c r="AI49" s="246">
        <v>67392</v>
      </c>
      <c r="AJ49" s="247">
        <v>60839.999999999985</v>
      </c>
      <c r="AK49" s="246">
        <v>60839.999999999985</v>
      </c>
      <c r="AL49" s="246">
        <v>60839.999999999985</v>
      </c>
      <c r="AM49" s="246">
        <v>60839.999999999985</v>
      </c>
      <c r="AN49" s="246">
        <v>60839.999999999985</v>
      </c>
      <c r="AO49" s="246">
        <v>60839.999999999985</v>
      </c>
      <c r="AP49" s="246">
        <v>60839.999999999985</v>
      </c>
      <c r="AQ49" s="179">
        <v>2969928.01</v>
      </c>
    </row>
    <row r="50" spans="1:43" ht="16.5" thickBot="1" x14ac:dyDescent="0.3">
      <c r="A50" s="248" t="s">
        <v>174</v>
      </c>
      <c r="B50" s="245">
        <v>1.7999999999999999E-2</v>
      </c>
      <c r="C50" s="246">
        <v>30326.399999999998</v>
      </c>
      <c r="D50" s="246">
        <v>45489.599999999991</v>
      </c>
      <c r="E50" s="246">
        <v>60652.799999999996</v>
      </c>
      <c r="F50" s="246">
        <v>75816</v>
      </c>
      <c r="G50" s="246">
        <v>90979.199999999983</v>
      </c>
      <c r="H50" s="246">
        <v>106142.39999999997</v>
      </c>
      <c r="I50" s="246">
        <v>121305.59999999999</v>
      </c>
      <c r="J50" s="246">
        <v>121305.59999999999</v>
      </c>
      <c r="K50" s="246">
        <v>121305.59999999999</v>
      </c>
      <c r="L50" s="246">
        <v>121305.59999999999</v>
      </c>
      <c r="M50" s="246">
        <v>121305.59999999999</v>
      </c>
      <c r="N50" s="246">
        <v>121305.59999999999</v>
      </c>
      <c r="O50" s="251">
        <v>1137240.0179999999</v>
      </c>
      <c r="P50" s="246">
        <v>121305.59999999999</v>
      </c>
      <c r="Q50" s="246">
        <v>121305.59999999999</v>
      </c>
      <c r="R50" s="246">
        <v>121305.59999999999</v>
      </c>
      <c r="S50" s="246">
        <v>121305.59999999999</v>
      </c>
      <c r="T50" s="246">
        <v>121305.59999999999</v>
      </c>
      <c r="U50" s="246">
        <v>121305.59999999999</v>
      </c>
      <c r="V50" s="246">
        <v>121305.59999999999</v>
      </c>
      <c r="W50" s="246">
        <v>121305.59999999999</v>
      </c>
      <c r="X50" s="246">
        <v>121305.59999999999</v>
      </c>
      <c r="Y50" s="246">
        <v>121305.59999999999</v>
      </c>
      <c r="Z50" s="246">
        <v>121305.59999999999</v>
      </c>
      <c r="AA50" s="246">
        <v>121305.59999999999</v>
      </c>
      <c r="AB50" s="246">
        <v>121305.59999999999</v>
      </c>
      <c r="AC50" s="178"/>
      <c r="AD50" s="246">
        <v>121305.59999999999</v>
      </c>
      <c r="AE50" s="246">
        <v>121305.59999999999</v>
      </c>
      <c r="AF50" s="246">
        <v>121305.59999999999</v>
      </c>
      <c r="AG50" s="246">
        <v>121305.59999999999</v>
      </c>
      <c r="AH50" s="246">
        <v>121305.59999999999</v>
      </c>
      <c r="AI50" s="246">
        <v>121305.59999999999</v>
      </c>
      <c r="AJ50" s="247">
        <v>109511.99999999999</v>
      </c>
      <c r="AK50" s="246">
        <v>109511.99999999999</v>
      </c>
      <c r="AL50" s="246">
        <v>109511.99999999999</v>
      </c>
      <c r="AM50" s="246">
        <v>109511.99999999999</v>
      </c>
      <c r="AN50" s="246">
        <v>109511.99999999999</v>
      </c>
      <c r="AO50" s="246">
        <v>109511.99999999999</v>
      </c>
      <c r="AP50" s="246">
        <v>109511.99999999999</v>
      </c>
      <c r="AQ50" s="179">
        <v>5345870.4180000005</v>
      </c>
    </row>
    <row r="51" spans="1:43" ht="16.5" thickBot="1" x14ac:dyDescent="0.3">
      <c r="A51" s="248" t="s">
        <v>147</v>
      </c>
      <c r="B51" s="245">
        <v>2.7999999999999997E-2</v>
      </c>
      <c r="C51" s="246">
        <v>47174.400000000001</v>
      </c>
      <c r="D51" s="246">
        <v>70761.599999999977</v>
      </c>
      <c r="E51" s="246">
        <v>94348.800000000003</v>
      </c>
      <c r="F51" s="246">
        <v>117936</v>
      </c>
      <c r="G51" s="246">
        <v>141523.19999999995</v>
      </c>
      <c r="H51" s="246">
        <v>165110.39999999999</v>
      </c>
      <c r="I51" s="246">
        <v>188697.60000000001</v>
      </c>
      <c r="J51" s="246">
        <v>188697.60000000001</v>
      </c>
      <c r="K51" s="246">
        <v>188697.60000000001</v>
      </c>
      <c r="L51" s="246">
        <v>188697.60000000001</v>
      </c>
      <c r="M51" s="246">
        <v>188697.60000000001</v>
      </c>
      <c r="N51" s="246">
        <v>188697.60000000001</v>
      </c>
      <c r="O51" s="268">
        <v>1769040.0280000002</v>
      </c>
      <c r="P51" s="246">
        <v>188697.60000000001</v>
      </c>
      <c r="Q51" s="246">
        <v>188697.60000000001</v>
      </c>
      <c r="R51" s="246">
        <v>188697.60000000001</v>
      </c>
      <c r="S51" s="246">
        <v>188697.60000000001</v>
      </c>
      <c r="T51" s="246">
        <v>188697.60000000001</v>
      </c>
      <c r="U51" s="246">
        <v>188697.60000000001</v>
      </c>
      <c r="V51" s="246">
        <v>188697.60000000001</v>
      </c>
      <c r="W51" s="246">
        <v>188697.60000000001</v>
      </c>
      <c r="X51" s="246">
        <v>188697.60000000001</v>
      </c>
      <c r="Y51" s="246">
        <v>188697.60000000001</v>
      </c>
      <c r="Z51" s="246">
        <v>188697.60000000001</v>
      </c>
      <c r="AA51" s="246">
        <v>188697.60000000001</v>
      </c>
      <c r="AB51" s="246">
        <v>188697.60000000001</v>
      </c>
      <c r="AC51" s="178"/>
      <c r="AD51" s="246">
        <v>188697.60000000001</v>
      </c>
      <c r="AE51" s="246">
        <v>188697.60000000001</v>
      </c>
      <c r="AF51" s="246">
        <v>188697.60000000001</v>
      </c>
      <c r="AG51" s="246">
        <v>188697.60000000001</v>
      </c>
      <c r="AH51" s="246">
        <v>188697.60000000001</v>
      </c>
      <c r="AI51" s="246">
        <v>188697.60000000001</v>
      </c>
      <c r="AJ51" s="247">
        <v>170351.99999999997</v>
      </c>
      <c r="AK51" s="246">
        <v>170351.99999999997</v>
      </c>
      <c r="AL51" s="246">
        <v>170351.99999999997</v>
      </c>
      <c r="AM51" s="246">
        <v>170351.99999999997</v>
      </c>
      <c r="AN51" s="246">
        <v>170351.99999999997</v>
      </c>
      <c r="AO51" s="246">
        <v>170351.99999999997</v>
      </c>
      <c r="AP51" s="246">
        <v>170351.99999999997</v>
      </c>
      <c r="AQ51" s="179">
        <v>8315798.4279999947</v>
      </c>
    </row>
    <row r="52" spans="1:43" ht="15.75" x14ac:dyDescent="0.25">
      <c r="A52" s="270" t="s">
        <v>154</v>
      </c>
      <c r="B52" s="229">
        <v>0.14000000000000001</v>
      </c>
      <c r="C52" s="271">
        <v>13591.449575540286</v>
      </c>
      <c r="D52" s="271">
        <v>20244.386928520395</v>
      </c>
      <c r="E52" s="271">
        <v>26803.466062088082</v>
      </c>
      <c r="F52" s="271">
        <v>33269.675355483298</v>
      </c>
      <c r="G52" s="271">
        <v>39643.993947180679</v>
      </c>
      <c r="H52" s="271">
        <v>45927.391815847222</v>
      </c>
      <c r="I52" s="271">
        <v>52120.829860619298</v>
      </c>
      <c r="J52" s="271">
        <v>51755.786649515023</v>
      </c>
      <c r="K52" s="271">
        <v>51393.300123450666</v>
      </c>
      <c r="L52" s="271">
        <v>51033.352375947776</v>
      </c>
      <c r="M52" s="271">
        <v>50675.92562594109</v>
      </c>
      <c r="N52" s="271">
        <v>50321.002216900117</v>
      </c>
      <c r="O52" s="251">
        <v>486780.7005370339</v>
      </c>
      <c r="P52" s="271">
        <v>49968.564615956966</v>
      </c>
      <c r="Q52" s="271">
        <v>49618.59541304021</v>
      </c>
      <c r="R52" s="271">
        <v>49271.077320014883</v>
      </c>
      <c r="S52" s="271">
        <v>48925.993169828405</v>
      </c>
      <c r="T52" s="271">
        <v>48583.32591566263</v>
      </c>
      <c r="U52" s="271">
        <v>48243.058630091662</v>
      </c>
      <c r="V52" s="271">
        <v>47905.174504245697</v>
      </c>
      <c r="W52" s="271">
        <v>47569.656846980724</v>
      </c>
      <c r="X52" s="271">
        <v>47236.48908405393</v>
      </c>
      <c r="Y52" s="271">
        <v>46905.654757304968</v>
      </c>
      <c r="Z52" s="271">
        <v>46577.137523842932</v>
      </c>
      <c r="AA52" s="271">
        <v>46250.921155239106</v>
      </c>
      <c r="AB52" s="271">
        <v>45926.989536725181</v>
      </c>
      <c r="AC52" s="230"/>
      <c r="AD52" s="271">
        <v>45605.326666397275</v>
      </c>
      <c r="AE52" s="271">
        <v>45285.916654425462</v>
      </c>
      <c r="AF52" s="271">
        <v>44968.743722268766</v>
      </c>
      <c r="AG52" s="271">
        <v>44653.792201895812</v>
      </c>
      <c r="AH52" s="271">
        <v>44341.046535010726</v>
      </c>
      <c r="AI52" s="271">
        <v>44030.491272284671</v>
      </c>
      <c r="AJ52" s="272"/>
      <c r="AK52" s="271"/>
      <c r="AL52" s="271"/>
      <c r="AM52" s="271"/>
      <c r="AN52" s="271"/>
      <c r="AO52" s="271"/>
      <c r="AP52" s="271"/>
      <c r="AQ52" s="232"/>
    </row>
    <row r="53" spans="1:43" ht="16.5" thickBot="1" x14ac:dyDescent="0.3">
      <c r="A53" s="249" t="s">
        <v>155</v>
      </c>
      <c r="B53" s="176" t="s">
        <v>94</v>
      </c>
      <c r="C53" s="222">
        <v>0.16676309887891139</v>
      </c>
      <c r="D53" s="222">
        <v>0.24381643310996151</v>
      </c>
      <c r="E53" s="222">
        <v>0.31686441400526494</v>
      </c>
      <c r="F53" s="222">
        <v>0.38606038406983373</v>
      </c>
      <c r="G53" s="222">
        <v>0.451552490649342</v>
      </c>
      <c r="H53" s="222">
        <v>0.51348385064750912</v>
      </c>
      <c r="I53" s="222">
        <v>0.57199271023427201</v>
      </c>
      <c r="J53" s="222">
        <v>0.55752231083802051</v>
      </c>
      <c r="K53" s="222">
        <v>0.54341798683913078</v>
      </c>
      <c r="L53" s="222">
        <v>0.52967047718040006</v>
      </c>
      <c r="M53" s="222">
        <v>0.51627075509292042</v>
      </c>
      <c r="N53" s="222">
        <v>0.50321002216900057</v>
      </c>
      <c r="O53" s="269">
        <v>5.3006249337145661</v>
      </c>
      <c r="P53" s="222">
        <v>0.49047970258503315</v>
      </c>
      <c r="Q53" s="222">
        <v>0.47807143747051245</v>
      </c>
      <c r="R53" s="222">
        <v>0.46597707941950689</v>
      </c>
      <c r="S53" s="222">
        <v>0.45418868714098054</v>
      </c>
      <c r="T53" s="222">
        <v>0.44269852024445261</v>
      </c>
      <c r="U53" s="222">
        <v>0.43149903415757063</v>
      </c>
      <c r="V53" s="222">
        <v>0.42058287517225851</v>
      </c>
      <c r="W53" s="222">
        <v>0.40994287561619114</v>
      </c>
      <c r="X53" s="222">
        <v>0.39957204914641936</v>
      </c>
      <c r="Y53" s="222">
        <v>0.38946358616205862</v>
      </c>
      <c r="Z53" s="222">
        <v>0.37961084933302941</v>
      </c>
      <c r="AA53" s="222">
        <v>0.37000736924191197</v>
      </c>
      <c r="AB53" s="222">
        <v>0.36064684013605358</v>
      </c>
      <c r="AC53" s="223"/>
      <c r="AD53" s="222">
        <v>0.35152311578714124</v>
      </c>
      <c r="AE53" s="222">
        <v>0.34263020545551959</v>
      </c>
      <c r="AF53" s="222">
        <v>0.33396226995660305</v>
      </c>
      <c r="AG53" s="222">
        <v>0.32551361782680321</v>
      </c>
      <c r="AH53" s="222">
        <v>0.31727870158644866</v>
      </c>
      <c r="AI53" s="222">
        <v>0.30925211409724868</v>
      </c>
      <c r="AJ53" s="224"/>
      <c r="AK53" s="222"/>
      <c r="AL53" s="222"/>
      <c r="AM53" s="222"/>
      <c r="AN53" s="222"/>
      <c r="AO53" s="222"/>
      <c r="AP53" s="222"/>
      <c r="AQ53" s="241"/>
    </row>
    <row r="54" spans="1:43" ht="15.75" x14ac:dyDescent="0.25">
      <c r="A54" s="228" t="s">
        <v>92</v>
      </c>
      <c r="B54" s="229">
        <v>1</v>
      </c>
      <c r="C54" s="230">
        <v>36315.933106890327</v>
      </c>
      <c r="D54" s="230">
        <v>53596.776846625289</v>
      </c>
      <c r="E54" s="230">
        <v>70301.062952826789</v>
      </c>
      <c r="F54" s="230">
        <v>86434.862897968807</v>
      </c>
      <c r="G54" s="230">
        <v>102004.19138982421</v>
      </c>
      <c r="H54" s="230">
        <v>117015.00686877576</v>
      </c>
      <c r="I54" s="230">
        <v>131473.2120009471</v>
      </c>
      <c r="J54" s="230">
        <v>129230.80370416369</v>
      </c>
      <c r="K54" s="230">
        <v>127004.10075833974</v>
      </c>
      <c r="L54" s="230">
        <v>124792.99316653627</v>
      </c>
      <c r="M54" s="230">
        <v>122597.37170220954</v>
      </c>
      <c r="N54" s="230">
        <v>120417.12790381498</v>
      </c>
      <c r="O54" s="251">
        <v>1221184.4432989224</v>
      </c>
      <c r="P54" s="230">
        <v>118252.1540694499</v>
      </c>
      <c r="Q54" s="230">
        <v>116102.34325153266</v>
      </c>
      <c r="R54" s="230">
        <v>113967.58925151997</v>
      </c>
      <c r="S54" s="230">
        <v>111847.78661466017</v>
      </c>
      <c r="T54" s="230">
        <v>109742.83062478466</v>
      </c>
      <c r="U54" s="230">
        <v>107652.61729913446</v>
      </c>
      <c r="V54" s="230">
        <v>105577.04338322356</v>
      </c>
      <c r="W54" s="230">
        <v>103516.0063457387</v>
      </c>
      <c r="X54" s="230">
        <v>101469.40437347413</v>
      </c>
      <c r="Y54" s="230">
        <v>99437.136366301915</v>
      </c>
      <c r="Z54" s="230">
        <v>97419.101932177975</v>
      </c>
      <c r="AA54" s="230">
        <v>95415.201382183033</v>
      </c>
      <c r="AB54" s="230">
        <v>93425.335725597513</v>
      </c>
      <c r="AC54" s="230"/>
      <c r="AD54" s="230">
        <v>91449.406665011804</v>
      </c>
      <c r="AE54" s="230">
        <v>89487.316591470677</v>
      </c>
      <c r="AF54" s="230">
        <v>87538.968579650973</v>
      </c>
      <c r="AG54" s="230">
        <v>85604.266383074224</v>
      </c>
      <c r="AH54" s="230">
        <v>83683.114429351568</v>
      </c>
      <c r="AI54" s="230">
        <v>81775.417815462919</v>
      </c>
      <c r="AJ54" s="231">
        <v>64596.513534930447</v>
      </c>
      <c r="AK54" s="230">
        <v>62950.984097768291</v>
      </c>
      <c r="AL54" s="230">
        <v>61316.979598933365</v>
      </c>
      <c r="AM54" s="230">
        <v>59694.419320207962</v>
      </c>
      <c r="AN54" s="230">
        <v>58083.223108707403</v>
      </c>
      <c r="AO54" s="230">
        <v>56483.311372921162</v>
      </c>
      <c r="AP54" s="230">
        <v>54894.605078780267</v>
      </c>
      <c r="AQ54" s="232"/>
    </row>
    <row r="55" spans="1:43" ht="16.5" thickBot="1" x14ac:dyDescent="0.3">
      <c r="A55" s="233" t="s">
        <v>160</v>
      </c>
      <c r="B55" s="234" t="s">
        <v>94</v>
      </c>
      <c r="C55" s="235">
        <v>0.44558584497735876</v>
      </c>
      <c r="D55" s="235">
        <v>0.64550114572868589</v>
      </c>
      <c r="E55" s="235">
        <v>0.83108300489549936</v>
      </c>
      <c r="F55" s="235">
        <v>1.0029877361551585</v>
      </c>
      <c r="G55" s="235">
        <v>1.1618467791140128</v>
      </c>
      <c r="H55" s="235">
        <v>1.3082675487309363</v>
      </c>
      <c r="I55" s="235">
        <v>1.4428342575651614</v>
      </c>
      <c r="J55" s="235">
        <v>1.3920966326047544</v>
      </c>
      <c r="K55" s="235">
        <v>1.3429048648097828</v>
      </c>
      <c r="L55" s="235">
        <v>1.2952150145331718</v>
      </c>
      <c r="M55" s="235">
        <v>1.24898434274888</v>
      </c>
      <c r="N55" s="235">
        <v>1.2041712790381485</v>
      </c>
      <c r="O55" s="252">
        <v>13.321478450901548</v>
      </c>
      <c r="P55" s="235">
        <v>1.1607353904158673</v>
      </c>
      <c r="Q55" s="235">
        <v>1.1186373509752314</v>
      </c>
      <c r="R55" s="235">
        <v>1.0778389123294538</v>
      </c>
      <c r="S55" s="235">
        <v>1.0383028748298213</v>
      </c>
      <c r="T55" s="235">
        <v>0.99999305953994511</v>
      </c>
      <c r="U55" s="235">
        <v>0.96287428094653615</v>
      </c>
      <c r="V55" s="235">
        <v>0.92691232038758242</v>
      </c>
      <c r="W55" s="235">
        <v>0.89207390017927846</v>
      </c>
      <c r="X55" s="235">
        <v>0.85832665842353295</v>
      </c>
      <c r="Y55" s="235">
        <v>0.8256391244783623</v>
      </c>
      <c r="Z55" s="235">
        <v>0.79398069507393454</v>
      </c>
      <c r="AA55" s="235">
        <v>0.76332161105746243</v>
      </c>
      <c r="AB55" s="235">
        <v>0.73363293475057623</v>
      </c>
      <c r="AC55" s="236"/>
      <c r="AD55" s="235">
        <v>0.70488652790325079</v>
      </c>
      <c r="AE55" s="235">
        <v>0.6770550302287508</v>
      </c>
      <c r="AF55" s="235">
        <v>0.65011183850445886</v>
      </c>
      <c r="AG55" s="235">
        <v>0.62403108622386694</v>
      </c>
      <c r="AH55" s="235">
        <v>0.59878762378535388</v>
      </c>
      <c r="AI55" s="235">
        <v>0.57435699920378169</v>
      </c>
      <c r="AJ55" s="237">
        <v>0.44534070276725707</v>
      </c>
      <c r="AK55" s="235">
        <v>0.42600039417781704</v>
      </c>
      <c r="AL55" s="235">
        <v>0.40729811176563485</v>
      </c>
      <c r="AM55" s="235">
        <v>0.38921497409729983</v>
      </c>
      <c r="AN55" s="235">
        <v>0.37173262789572614</v>
      </c>
      <c r="AO55" s="235">
        <v>0.35483323374854642</v>
      </c>
      <c r="AP55" s="235">
        <v>0.33849945219518546</v>
      </c>
      <c r="AQ55" s="238"/>
    </row>
    <row r="56" spans="1:43" ht="16.5" thickBot="1" x14ac:dyDescent="0.3">
      <c r="A56" s="242" t="s">
        <v>148</v>
      </c>
      <c r="B56" s="225">
        <v>7.0000000000000007E-2</v>
      </c>
      <c r="C56" s="226">
        <v>2542.115317482323</v>
      </c>
      <c r="D56" s="226">
        <v>3751.7743792637707</v>
      </c>
      <c r="E56" s="226">
        <v>4921.0744066978759</v>
      </c>
      <c r="F56" s="226">
        <v>6050.4404028578174</v>
      </c>
      <c r="G56" s="226">
        <v>7140.2933972876954</v>
      </c>
      <c r="H56" s="226">
        <v>8191.0504808143041</v>
      </c>
      <c r="I56" s="226">
        <v>9203.1248400662971</v>
      </c>
      <c r="J56" s="226">
        <v>9046.1562592914597</v>
      </c>
      <c r="K56" s="226">
        <v>8890.2870530837827</v>
      </c>
      <c r="L56" s="226">
        <v>8735.5095216575392</v>
      </c>
      <c r="M56" s="226">
        <v>8581.8160191546685</v>
      </c>
      <c r="N56" s="226">
        <v>8429.1989532670486</v>
      </c>
      <c r="O56" s="267">
        <v>85482.911030924588</v>
      </c>
      <c r="P56" s="226">
        <v>8277.6507848614929</v>
      </c>
      <c r="Q56" s="226">
        <v>8127.1640276072867</v>
      </c>
      <c r="R56" s="226">
        <v>7977.731247606398</v>
      </c>
      <c r="S56" s="226">
        <v>7829.3450630262132</v>
      </c>
      <c r="T56" s="226">
        <v>7681.998143734927</v>
      </c>
      <c r="U56" s="226">
        <v>7535.6832109394136</v>
      </c>
      <c r="V56" s="226">
        <v>7390.3930368256497</v>
      </c>
      <c r="W56" s="226">
        <v>7246.1204442017097</v>
      </c>
      <c r="X56" s="226">
        <v>7102.85830614319</v>
      </c>
      <c r="Y56" s="226">
        <v>6960.5995456411347</v>
      </c>
      <c r="Z56" s="226">
        <v>6819.3371352524591</v>
      </c>
      <c r="AA56" s="226">
        <v>6679.0640967528134</v>
      </c>
      <c r="AB56" s="226">
        <v>6539.7735007918263</v>
      </c>
      <c r="AC56" s="226"/>
      <c r="AD56" s="226">
        <v>6401.4584665508273</v>
      </c>
      <c r="AE56" s="226">
        <v>6264.112161402948</v>
      </c>
      <c r="AF56" s="226">
        <v>6127.7278005755688</v>
      </c>
      <c r="AG56" s="226">
        <v>5992.2986468151967</v>
      </c>
      <c r="AH56" s="226">
        <v>5857.8180100546106</v>
      </c>
      <c r="AI56" s="226">
        <v>5724.2792470824052</v>
      </c>
      <c r="AJ56" s="227">
        <v>4521.7559474451318</v>
      </c>
      <c r="AK56" s="226">
        <v>4406.568886843781</v>
      </c>
      <c r="AL56" s="226">
        <v>4292.188571925336</v>
      </c>
      <c r="AM56" s="226">
        <v>4178.6093524145581</v>
      </c>
      <c r="AN56" s="226">
        <v>4065.8256176095188</v>
      </c>
      <c r="AO56" s="226">
        <v>3953.8317961044818</v>
      </c>
      <c r="AP56" s="226">
        <v>3842.6223555146189</v>
      </c>
      <c r="AQ56" s="239">
        <v>332762.56746557262</v>
      </c>
    </row>
    <row r="57" spans="1:43" ht="16.5" thickBot="1" x14ac:dyDescent="0.3">
      <c r="A57" s="243" t="s">
        <v>149</v>
      </c>
      <c r="B57" s="176" t="s">
        <v>94</v>
      </c>
      <c r="C57" s="177">
        <v>3.1191009148415116E-2</v>
      </c>
      <c r="D57" s="177">
        <v>4.5185080201008018E-2</v>
      </c>
      <c r="E57" s="177">
        <v>5.8175810342684958E-2</v>
      </c>
      <c r="F57" s="177">
        <v>7.0209141530861094E-2</v>
      </c>
      <c r="G57" s="177">
        <v>8.1329274537980903E-2</v>
      </c>
      <c r="H57" s="177">
        <v>9.1578728411165544E-2</v>
      </c>
      <c r="I57" s="177">
        <v>0.1009983980295613</v>
      </c>
      <c r="J57" s="177">
        <v>9.7446764282332815E-2</v>
      </c>
      <c r="K57" s="177">
        <v>9.4003340536684799E-2</v>
      </c>
      <c r="L57" s="177">
        <v>9.0665051017322029E-2</v>
      </c>
      <c r="M57" s="177">
        <v>8.7428903992421605E-2</v>
      </c>
      <c r="N57" s="177">
        <v>8.4291989532670406E-2</v>
      </c>
      <c r="O57" s="250">
        <v>0.93250349156310852</v>
      </c>
      <c r="P57" s="177">
        <v>0.24523985129251658</v>
      </c>
      <c r="Q57" s="177">
        <v>0.23903571873525623</v>
      </c>
      <c r="R57" s="177">
        <v>0.23298853970975344</v>
      </c>
      <c r="S57" s="177">
        <v>0.22709434357049027</v>
      </c>
      <c r="T57" s="177">
        <v>0.2213492601222263</v>
      </c>
      <c r="U57" s="177">
        <v>0.21574951707878531</v>
      </c>
      <c r="V57" s="177">
        <v>0.21029143758612925</v>
      </c>
      <c r="W57" s="177">
        <v>0.20497143780809557</v>
      </c>
      <c r="X57" s="177">
        <v>0.19978602457320968</v>
      </c>
      <c r="Y57" s="177">
        <v>0.19473179308102931</v>
      </c>
      <c r="Z57" s="177">
        <v>0.1898054246665147</v>
      </c>
      <c r="AA57" s="177">
        <v>0.18500368462095598</v>
      </c>
      <c r="AB57" s="177">
        <v>0.18032342006802679</v>
      </c>
      <c r="AC57" s="223"/>
      <c r="AD57" s="177">
        <v>0.17576155789357062</v>
      </c>
      <c r="AE57" s="177">
        <v>0.17131510272775979</v>
      </c>
      <c r="AF57" s="177">
        <v>0.16698113497830153</v>
      </c>
      <c r="AG57" s="177">
        <v>0.16275680891340161</v>
      </c>
      <c r="AH57" s="177">
        <v>0.15863935079322433</v>
      </c>
      <c r="AI57" s="177">
        <v>0.15462605704862434</v>
      </c>
      <c r="AJ57" s="217">
        <v>0.11338459505656151</v>
      </c>
      <c r="AK57" s="177">
        <v>0.11051616623483983</v>
      </c>
      <c r="AL57" s="177">
        <v>0.10772030356640536</v>
      </c>
      <c r="AM57" s="177">
        <v>0.10499517125649724</v>
      </c>
      <c r="AN57" s="177">
        <v>0.10233897995270057</v>
      </c>
      <c r="AO57" s="177">
        <v>9.9749985570037891E-2</v>
      </c>
      <c r="AP57" s="177">
        <v>9.7226488145782983E-2</v>
      </c>
      <c r="AQ57" s="244">
        <v>6.337389138176917</v>
      </c>
    </row>
    <row r="58" spans="1:43" ht="15.75" x14ac:dyDescent="0.25">
      <c r="A58" s="228" t="s">
        <v>150</v>
      </c>
      <c r="B58" s="229">
        <v>0.93</v>
      </c>
      <c r="C58" s="230">
        <v>33773.817789408007</v>
      </c>
      <c r="D58" s="230">
        <v>49845.002467361519</v>
      </c>
      <c r="E58" s="230">
        <v>65379.988546128916</v>
      </c>
      <c r="F58" s="230">
        <v>80384.422495110994</v>
      </c>
      <c r="G58" s="230">
        <v>94863.897992536513</v>
      </c>
      <c r="H58" s="230">
        <v>108823.95638796146</v>
      </c>
      <c r="I58" s="230">
        <v>122270.08716088081</v>
      </c>
      <c r="J58" s="230">
        <v>120184.64744487223</v>
      </c>
      <c r="K58" s="230">
        <v>118113.81370525596</v>
      </c>
      <c r="L58" s="230">
        <v>116057.48364487874</v>
      </c>
      <c r="M58" s="230">
        <v>114015.55568305487</v>
      </c>
      <c r="N58" s="230">
        <v>111987.92895054794</v>
      </c>
      <c r="O58" s="24">
        <v>1135701.532267998</v>
      </c>
      <c r="P58" s="230">
        <v>109974.50328458841</v>
      </c>
      <c r="Q58" s="230">
        <v>107975.17922392537</v>
      </c>
      <c r="R58" s="230">
        <v>105989.85800391357</v>
      </c>
      <c r="S58" s="230">
        <v>104018.44155163396</v>
      </c>
      <c r="T58" s="230">
        <v>102060.83248104974</v>
      </c>
      <c r="U58" s="230">
        <v>100116.93408819506</v>
      </c>
      <c r="V58" s="230">
        <v>98186.650346397917</v>
      </c>
      <c r="W58" s="230">
        <v>96269.885901536996</v>
      </c>
      <c r="X58" s="230">
        <v>94366.546067330943</v>
      </c>
      <c r="Y58" s="230">
        <v>92476.536820660782</v>
      </c>
      <c r="Z58" s="230">
        <v>90599.764796925519</v>
      </c>
      <c r="AA58" s="230">
        <v>88736.137285430232</v>
      </c>
      <c r="AB58" s="230">
        <v>86885.56222480569</v>
      </c>
      <c r="AC58" s="230"/>
      <c r="AD58" s="230">
        <v>85047.948198460988</v>
      </c>
      <c r="AE58" s="230">
        <v>83223.204430067737</v>
      </c>
      <c r="AF58" s="230">
        <v>81411.240779075408</v>
      </c>
      <c r="AG58" s="230">
        <v>79611.96773625903</v>
      </c>
      <c r="AH58" s="230">
        <v>77825.296419296967</v>
      </c>
      <c r="AI58" s="230">
        <v>76051.138568380513</v>
      </c>
      <c r="AJ58" s="231">
        <v>60074.757587485321</v>
      </c>
      <c r="AK58" s="230">
        <v>58544.415210924511</v>
      </c>
      <c r="AL58" s="230">
        <v>57024.791027008032</v>
      </c>
      <c r="AM58" s="230">
        <v>55515.809967793408</v>
      </c>
      <c r="AN58" s="230">
        <v>54017.397491097887</v>
      </c>
      <c r="AO58" s="230">
        <v>52529.47957681668</v>
      </c>
      <c r="AP58" s="230">
        <v>51051.982723265653</v>
      </c>
      <c r="AQ58" s="232"/>
    </row>
    <row r="59" spans="1:43" ht="16.5" thickBot="1" x14ac:dyDescent="0.3">
      <c r="A59" s="233" t="s">
        <v>151</v>
      </c>
      <c r="B59" s="234" t="s">
        <v>94</v>
      </c>
      <c r="C59" s="235">
        <v>0.41439483582894365</v>
      </c>
      <c r="D59" s="235">
        <v>0.60031606552767791</v>
      </c>
      <c r="E59" s="235">
        <v>0.77290719455281442</v>
      </c>
      <c r="F59" s="235">
        <v>0.93277859462429746</v>
      </c>
      <c r="G59" s="235">
        <v>1.080517504576032</v>
      </c>
      <c r="H59" s="235">
        <v>1.2166888203197708</v>
      </c>
      <c r="I59" s="235">
        <v>1.3418358595356001</v>
      </c>
      <c r="J59" s="235">
        <v>1.2946498683224217</v>
      </c>
      <c r="K59" s="235">
        <v>1.2489015242730981</v>
      </c>
      <c r="L59" s="235">
        <v>1.2045499635158499</v>
      </c>
      <c r="M59" s="235">
        <v>1.1615554387564584</v>
      </c>
      <c r="N59" s="235">
        <v>1.1198792895054781</v>
      </c>
      <c r="O59" s="252">
        <v>12.388974959338443</v>
      </c>
      <c r="P59" s="235">
        <v>1.0794839130867566</v>
      </c>
      <c r="Q59" s="235">
        <v>1.0403327364069652</v>
      </c>
      <c r="R59" s="235">
        <v>1.0023901884663922</v>
      </c>
      <c r="S59" s="235">
        <v>0.9656216735917339</v>
      </c>
      <c r="T59" s="235">
        <v>0.92999354537214896</v>
      </c>
      <c r="U59" s="235">
        <v>0.89547308128027869</v>
      </c>
      <c r="V59" s="235">
        <v>0.86202845796045169</v>
      </c>
      <c r="W59" s="235">
        <v>0.82962872716672897</v>
      </c>
      <c r="X59" s="235">
        <v>0.79824379233388565</v>
      </c>
      <c r="Y59" s="235">
        <v>0.76784438576487701</v>
      </c>
      <c r="Z59" s="235">
        <v>0.73840204641875917</v>
      </c>
      <c r="AA59" s="235">
        <v>0.70988909828344016</v>
      </c>
      <c r="AB59" s="235">
        <v>0.68227862931803596</v>
      </c>
      <c r="AC59" s="236"/>
      <c r="AD59" s="235">
        <v>0.65554447095002322</v>
      </c>
      <c r="AE59" s="235">
        <v>0.62966117811273825</v>
      </c>
      <c r="AF59" s="235">
        <v>0.60460400980914675</v>
      </c>
      <c r="AG59" s="235">
        <v>0.58034891018819623</v>
      </c>
      <c r="AH59" s="235">
        <v>0.55687249012037909</v>
      </c>
      <c r="AI59" s="235">
        <v>0.534152009259517</v>
      </c>
      <c r="AJ59" s="237">
        <v>0.4141668535735491</v>
      </c>
      <c r="AK59" s="235">
        <v>0.39618036658536987</v>
      </c>
      <c r="AL59" s="235">
        <v>0.37878724394204044</v>
      </c>
      <c r="AM59" s="235">
        <v>0.36196992591048888</v>
      </c>
      <c r="AN59" s="235">
        <v>0.34571134394302533</v>
      </c>
      <c r="AO59" s="235">
        <v>0.32999490738614817</v>
      </c>
      <c r="AP59" s="235">
        <v>0.31480449054152249</v>
      </c>
      <c r="AQ59" s="240"/>
    </row>
    <row r="60" spans="1:43" ht="15.75" thickBot="1" x14ac:dyDescent="0.3">
      <c r="B60" s="164"/>
      <c r="D60" s="14"/>
      <c r="G60" s="14"/>
      <c r="H60" s="14"/>
      <c r="P60" s="164"/>
      <c r="R60" s="14"/>
      <c r="U60" s="14"/>
      <c r="V60" s="14"/>
      <c r="AD60" s="164"/>
      <c r="AF60" s="14"/>
      <c r="AI60" s="14"/>
      <c r="AJ60" s="218"/>
    </row>
    <row r="61" spans="1:43" ht="16.5" thickBot="1" x14ac:dyDescent="0.3">
      <c r="A61" s="46" t="s">
        <v>156</v>
      </c>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c r="AE61" s="47"/>
      <c r="AF61" s="47"/>
      <c r="AG61" s="47"/>
      <c r="AH61" s="47"/>
      <c r="AI61" s="47"/>
      <c r="AJ61" s="208"/>
      <c r="AK61" s="47"/>
      <c r="AL61" s="47"/>
      <c r="AM61" s="47"/>
      <c r="AN61" s="47"/>
      <c r="AO61" s="47"/>
      <c r="AP61" s="47"/>
      <c r="AQ61" s="47"/>
    </row>
    <row r="62" spans="1:43" s="15" customFormat="1" ht="15.75" x14ac:dyDescent="0.25">
      <c r="A62" s="264" t="s">
        <v>158</v>
      </c>
      <c r="B62" s="257"/>
      <c r="C62" s="194">
        <v>0.16676309887891139</v>
      </c>
      <c r="D62" s="194">
        <v>0.41057953198887287</v>
      </c>
      <c r="E62" s="194">
        <v>0.72744394599413775</v>
      </c>
      <c r="F62" s="194">
        <v>1.1135043300639715</v>
      </c>
      <c r="G62" s="194">
        <v>1.5650568207133135</v>
      </c>
      <c r="H62" s="194">
        <v>2.0785406713608228</v>
      </c>
      <c r="I62" s="194">
        <v>2.6505333815950949</v>
      </c>
      <c r="J62" s="194">
        <v>3.2080556924331152</v>
      </c>
      <c r="K62" s="194">
        <v>3.7514736792722458</v>
      </c>
      <c r="L62" s="194">
        <v>4.2811441564526458</v>
      </c>
      <c r="M62" s="194">
        <v>4.797414911545566</v>
      </c>
      <c r="N62" s="194">
        <v>5.3006249337145661</v>
      </c>
      <c r="O62" s="175"/>
      <c r="P62" s="194">
        <v>5.7911046362995995</v>
      </c>
      <c r="Q62" s="194">
        <v>6.2691760737701117</v>
      </c>
      <c r="R62" s="194">
        <v>6.7351531531896187</v>
      </c>
      <c r="S62" s="194">
        <v>7.1893418403305995</v>
      </c>
      <c r="T62" s="194">
        <v>7.6320403605750524</v>
      </c>
      <c r="U62" s="194">
        <v>8.0635393947326222</v>
      </c>
      <c r="V62" s="194">
        <v>8.4841222699048799</v>
      </c>
      <c r="W62" s="194">
        <v>8.894065145521072</v>
      </c>
      <c r="X62" s="194">
        <v>9.2936371946674914</v>
      </c>
      <c r="Y62" s="194">
        <v>9.6831007808295499</v>
      </c>
      <c r="Z62" s="194">
        <v>10.06271163016258</v>
      </c>
      <c r="AA62" s="194">
        <v>10.432718999404493</v>
      </c>
      <c r="AB62" s="194">
        <v>10.793365839540547</v>
      </c>
      <c r="AC62" s="175"/>
      <c r="AD62" s="194">
        <v>11.144888955327689</v>
      </c>
      <c r="AE62" s="194">
        <v>11.487519160783208</v>
      </c>
      <c r="AF62" s="194">
        <v>11.82148143073981</v>
      </c>
      <c r="AG62" s="194">
        <v>12.146995048566614</v>
      </c>
      <c r="AH62" s="194">
        <v>12.464273750153064</v>
      </c>
      <c r="AI62" s="194">
        <v>12.773525864250312</v>
      </c>
      <c r="AJ62" s="216">
        <v>12.773525864250312</v>
      </c>
      <c r="AK62" s="194">
        <v>12.773525864250312</v>
      </c>
      <c r="AL62" s="194">
        <v>12.773525864250312</v>
      </c>
      <c r="AM62" s="194">
        <v>12.773525864250312</v>
      </c>
      <c r="AN62" s="194">
        <v>12.773525864250312</v>
      </c>
      <c r="AO62" s="194">
        <v>12.773525864250312</v>
      </c>
      <c r="AP62" s="194">
        <v>12.773525864250312</v>
      </c>
      <c r="AQ62" s="175"/>
    </row>
    <row r="63" spans="1:43" ht="15.75" x14ac:dyDescent="0.25">
      <c r="A63" s="265" t="s">
        <v>157</v>
      </c>
      <c r="B63" s="258"/>
      <c r="C63" s="129">
        <v>13591.449575540288</v>
      </c>
      <c r="D63" s="129">
        <v>34090.938024529583</v>
      </c>
      <c r="E63" s="129">
        <v>61534.265940640886</v>
      </c>
      <c r="F63" s="129">
        <v>95958.894247621341</v>
      </c>
      <c r="G63" s="129">
        <v>137403.96612170219</v>
      </c>
      <c r="H63" s="129">
        <v>185910.32940643409</v>
      </c>
      <c r="I63" s="129">
        <v>241520.55952850933</v>
      </c>
      <c r="J63" s="129">
        <v>297809.50959210942</v>
      </c>
      <c r="K63" s="129">
        <v>354792.47535680013</v>
      </c>
      <c r="L63" s="129">
        <v>412485.02176583506</v>
      </c>
      <c r="M63" s="129">
        <v>470902.98812394933</v>
      </c>
      <c r="N63" s="129">
        <v>530062.49337145721</v>
      </c>
      <c r="O63" s="42"/>
      <c r="P63" s="129">
        <v>589979.94145646971</v>
      </c>
      <c r="Q63" s="129">
        <v>650672.026807077</v>
      </c>
      <c r="R63" s="129">
        <v>712155.73990538169</v>
      </c>
      <c r="S63" s="129">
        <v>774448.37296529661</v>
      </c>
      <c r="T63" s="129">
        <v>837567.52571606392</v>
      </c>
      <c r="U63" s="129">
        <v>901531.11129348422</v>
      </c>
      <c r="V63" s="129">
        <v>966357.36224088329</v>
      </c>
      <c r="W63" s="129">
        <v>1032064.8366218826</v>
      </c>
      <c r="X63" s="129">
        <v>1098672.4242470765</v>
      </c>
      <c r="Y63" s="129">
        <v>1166199.3530167628</v>
      </c>
      <c r="Z63" s="129">
        <v>1234665.1953819063</v>
      </c>
      <c r="AA63" s="129">
        <v>1304089.8749255647</v>
      </c>
      <c r="AB63" s="129">
        <v>1374493.6730670396</v>
      </c>
      <c r="AC63" s="42"/>
      <c r="AD63" s="129">
        <v>1445897.2358910649</v>
      </c>
      <c r="AE63" s="129">
        <v>1518321.5811043826</v>
      </c>
      <c r="AF63" s="129">
        <v>1591788.1051221038</v>
      </c>
      <c r="AG63" s="129">
        <v>1666318.5902862961</v>
      </c>
      <c r="AH63" s="129">
        <v>1741935.2122192851</v>
      </c>
      <c r="AI63" s="129">
        <v>1818660.5473142003</v>
      </c>
      <c r="AJ63" s="214">
        <v>1852795.4692927641</v>
      </c>
      <c r="AK63" s="129"/>
      <c r="AL63" s="129"/>
      <c r="AM63" s="129"/>
      <c r="AN63" s="129"/>
      <c r="AO63" s="129"/>
      <c r="AP63" s="129"/>
      <c r="AQ63" s="42"/>
    </row>
    <row r="64" spans="1:43" ht="15.75" thickBot="1" x14ac:dyDescent="0.3"/>
    <row r="65" spans="1:13" ht="16.5" thickBot="1" x14ac:dyDescent="0.3">
      <c r="A65" s="276" t="s">
        <v>161</v>
      </c>
      <c r="B65" s="277"/>
      <c r="C65" s="288" t="s">
        <v>175</v>
      </c>
      <c r="D65" s="289"/>
      <c r="E65" s="289"/>
      <c r="F65" s="289"/>
      <c r="G65" s="289"/>
      <c r="H65" s="289"/>
      <c r="I65" s="289"/>
      <c r="J65" s="289"/>
      <c r="K65" s="289"/>
      <c r="L65" s="290"/>
    </row>
    <row r="66" spans="1:13" ht="16.5" customHeight="1" thickBot="1" x14ac:dyDescent="0.3">
      <c r="A66" s="190" t="s">
        <v>163</v>
      </c>
      <c r="B66" s="273">
        <v>5345870.4180000005</v>
      </c>
      <c r="C66" s="291"/>
      <c r="D66" s="292"/>
      <c r="E66" s="292"/>
      <c r="F66" s="292"/>
      <c r="G66" s="292"/>
      <c r="H66" s="292"/>
      <c r="I66" s="292"/>
      <c r="J66" s="292"/>
      <c r="K66" s="292"/>
      <c r="L66" s="293"/>
    </row>
    <row r="67" spans="1:13" ht="15.75" thickBot="1" x14ac:dyDescent="0.3">
      <c r="C67" s="291"/>
      <c r="D67" s="292"/>
      <c r="E67" s="292"/>
      <c r="F67" s="292"/>
      <c r="G67" s="292"/>
      <c r="H67" s="292"/>
      <c r="I67" s="292"/>
      <c r="J67" s="292"/>
      <c r="K67" s="292"/>
      <c r="L67" s="293"/>
    </row>
    <row r="68" spans="1:13" ht="16.5" thickBot="1" x14ac:dyDescent="0.3">
      <c r="A68" s="276" t="s">
        <v>164</v>
      </c>
      <c r="B68" s="278"/>
      <c r="C68" s="294"/>
      <c r="D68" s="295"/>
      <c r="E68" s="295"/>
      <c r="F68" s="295"/>
      <c r="G68" s="295"/>
      <c r="H68" s="295"/>
      <c r="I68" s="295"/>
      <c r="J68" s="295"/>
      <c r="K68" s="295"/>
      <c r="L68" s="296"/>
    </row>
    <row r="69" spans="1:13" ht="16.5" thickBot="1" x14ac:dyDescent="0.3">
      <c r="A69" s="190" t="s">
        <v>51</v>
      </c>
      <c r="B69" s="273">
        <v>3436800</v>
      </c>
    </row>
    <row r="70" spans="1:13" ht="16.5" thickBot="1" x14ac:dyDescent="0.3">
      <c r="A70" s="190" t="s">
        <v>172</v>
      </c>
      <c r="B70" s="256">
        <v>29.793383435111039</v>
      </c>
    </row>
    <row r="71" spans="1:13" ht="16.5" thickBot="1" x14ac:dyDescent="0.3">
      <c r="A71" s="190" t="s">
        <v>165</v>
      </c>
      <c r="B71" s="196">
        <v>4831606.0986947631</v>
      </c>
    </row>
    <row r="72" spans="1:13" ht="15.75" thickBot="1" x14ac:dyDescent="0.3">
      <c r="B72" s="157"/>
      <c r="C72" s="14"/>
    </row>
    <row r="73" spans="1:13" ht="16.5" thickBot="1" x14ac:dyDescent="0.3">
      <c r="A73" s="276" t="s">
        <v>166</v>
      </c>
      <c r="B73" s="277"/>
    </row>
    <row r="74" spans="1:13" ht="16.5" thickBot="1" x14ac:dyDescent="0.3">
      <c r="A74" s="190" t="s">
        <v>172</v>
      </c>
      <c r="B74" s="256">
        <v>6.337389138176917</v>
      </c>
    </row>
    <row r="75" spans="1:13" ht="16.5" thickBot="1" x14ac:dyDescent="0.3">
      <c r="A75" s="190" t="s">
        <v>167</v>
      </c>
      <c r="B75" s="196">
        <v>1027737.1845499299</v>
      </c>
    </row>
    <row r="76" spans="1:13" x14ac:dyDescent="0.25">
      <c r="D76" s="14"/>
      <c r="E76" s="14"/>
    </row>
    <row r="77" spans="1:13" x14ac:dyDescent="0.25">
      <c r="A77" s="14"/>
      <c r="E77" s="192"/>
    </row>
    <row r="80" spans="1:13" x14ac:dyDescent="0.25">
      <c r="H80" s="13"/>
      <c r="I80" s="13"/>
      <c r="M80" s="193"/>
    </row>
    <row r="81" spans="8:8" x14ac:dyDescent="0.25">
      <c r="H81" s="13"/>
    </row>
    <row r="82" spans="8:8" x14ac:dyDescent="0.25">
      <c r="H82" s="13"/>
    </row>
    <row r="86" spans="8:8" x14ac:dyDescent="0.25">
      <c r="H86" s="13"/>
    </row>
    <row r="87" spans="8:8" x14ac:dyDescent="0.25">
      <c r="H87" s="13"/>
    </row>
    <row r="88" spans="8:8" x14ac:dyDescent="0.25">
      <c r="H88" s="13"/>
    </row>
    <row r="89" spans="8:8" x14ac:dyDescent="0.25">
      <c r="H89" s="13"/>
    </row>
  </sheetData>
  <mergeCells count="5">
    <mergeCell ref="A65:B65"/>
    <mergeCell ref="A68:B68"/>
    <mergeCell ref="A73:B73"/>
    <mergeCell ref="A1:Q4"/>
    <mergeCell ref="C65:L6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80396-D3C3-44E3-B03B-0584E0AE3794}">
  <dimension ref="X8:AN47"/>
  <sheetViews>
    <sheetView topLeftCell="N7" zoomScale="115" zoomScaleNormal="115" workbookViewId="0">
      <selection activeCell="X30" sqref="X30:AJ45"/>
    </sheetView>
  </sheetViews>
  <sheetFormatPr defaultRowHeight="15" x14ac:dyDescent="0.25"/>
  <cols>
    <col min="40" max="40" width="14.85546875" bestFit="1" customWidth="1"/>
  </cols>
  <sheetData>
    <row r="8" spans="39:40" x14ac:dyDescent="0.25">
      <c r="AM8" s="253"/>
      <c r="AN8" s="253" t="s">
        <v>88</v>
      </c>
    </row>
    <row r="9" spans="39:40" x14ac:dyDescent="0.25">
      <c r="AM9" s="254">
        <v>45778</v>
      </c>
      <c r="AN9" s="255">
        <v>80000</v>
      </c>
    </row>
    <row r="10" spans="39:40" x14ac:dyDescent="0.25">
      <c r="AM10" s="254">
        <v>45809</v>
      </c>
      <c r="AN10" s="255">
        <v>81501.541209720483</v>
      </c>
    </row>
    <row r="11" spans="39:40" x14ac:dyDescent="0.25">
      <c r="AM11" s="254">
        <v>45839</v>
      </c>
      <c r="AN11" s="255">
        <v>83031.265244497088</v>
      </c>
    </row>
    <row r="12" spans="39:40" x14ac:dyDescent="0.25">
      <c r="AM12" s="254">
        <v>45870</v>
      </c>
      <c r="AN12" s="255">
        <v>84589.701075245146</v>
      </c>
    </row>
    <row r="13" spans="39:40" x14ac:dyDescent="0.25">
      <c r="AM13" s="254">
        <v>45901</v>
      </c>
      <c r="AN13" s="255">
        <v>86177.387601275375</v>
      </c>
    </row>
    <row r="14" spans="39:40" x14ac:dyDescent="0.25">
      <c r="AM14" s="254">
        <v>45931</v>
      </c>
      <c r="AN14" s="255">
        <v>87794.87383664251</v>
      </c>
    </row>
    <row r="15" spans="39:40" x14ac:dyDescent="0.25">
      <c r="AM15" s="254">
        <v>45962</v>
      </c>
      <c r="AN15" s="255">
        <v>89442.719099991635</v>
      </c>
    </row>
    <row r="16" spans="39:40" x14ac:dyDescent="0.25">
      <c r="AM16" s="254">
        <v>45992</v>
      </c>
      <c r="AN16" s="255">
        <v>91121.493207967782</v>
      </c>
    </row>
    <row r="17" spans="24:40" x14ac:dyDescent="0.25">
      <c r="AM17" s="254">
        <v>46023</v>
      </c>
      <c r="AN17" s="255">
        <v>92831.776672255655</v>
      </c>
    </row>
    <row r="18" spans="24:40" x14ac:dyDescent="0.25">
      <c r="AM18" s="254">
        <v>46054</v>
      </c>
      <c r="AN18" s="255">
        <v>94574.160900317671</v>
      </c>
    </row>
    <row r="19" spans="24:40" x14ac:dyDescent="0.25">
      <c r="AM19" s="254">
        <v>46082</v>
      </c>
      <c r="AN19" s="255">
        <v>96349.248399899705</v>
      </c>
    </row>
    <row r="20" spans="24:40" x14ac:dyDescent="0.25">
      <c r="AM20" s="254">
        <v>46113</v>
      </c>
      <c r="AN20" s="255">
        <v>98157.652987375273</v>
      </c>
    </row>
    <row r="21" spans="24:40" x14ac:dyDescent="0.25">
      <c r="AM21" s="254">
        <v>46143</v>
      </c>
      <c r="AN21" s="255">
        <v>100000.00000000012</v>
      </c>
    </row>
    <row r="22" spans="24:40" x14ac:dyDescent="0.25">
      <c r="AM22" s="254">
        <v>46174</v>
      </c>
      <c r="AN22" s="255">
        <v>101876.92651215073</v>
      </c>
    </row>
    <row r="23" spans="24:40" x14ac:dyDescent="0.25">
      <c r="AM23" s="254">
        <v>46204</v>
      </c>
      <c r="AN23" s="255">
        <v>103789.08155562148</v>
      </c>
    </row>
    <row r="24" spans="24:40" x14ac:dyDescent="0.25">
      <c r="AM24" s="254">
        <v>46235</v>
      </c>
      <c r="AN24" s="255">
        <v>105737.12634405657</v>
      </c>
    </row>
    <row r="25" spans="24:40" x14ac:dyDescent="0.25">
      <c r="AM25" s="254">
        <v>46266</v>
      </c>
      <c r="AN25" s="255">
        <v>107721.73450159436</v>
      </c>
    </row>
    <row r="26" spans="24:40" x14ac:dyDescent="0.25">
      <c r="AM26" s="254">
        <v>46296</v>
      </c>
      <c r="AN26" s="255">
        <v>109743.59229580328</v>
      </c>
    </row>
    <row r="27" spans="24:40" x14ac:dyDescent="0.25">
      <c r="AM27" s="254">
        <v>46327</v>
      </c>
      <c r="AN27" s="255">
        <v>111803.39887498968</v>
      </c>
    </row>
    <row r="28" spans="24:40" x14ac:dyDescent="0.25">
      <c r="AM28" s="254">
        <v>46357</v>
      </c>
      <c r="AN28" s="255">
        <v>113901.86650995986</v>
      </c>
    </row>
    <row r="29" spans="24:40" ht="15.75" thickBot="1" x14ac:dyDescent="0.3">
      <c r="AM29" s="254">
        <v>46388</v>
      </c>
      <c r="AN29" s="255">
        <v>116039.7208403197</v>
      </c>
    </row>
    <row r="30" spans="24:40" x14ac:dyDescent="0.25">
      <c r="X30" s="297" t="s">
        <v>170</v>
      </c>
      <c r="Y30" s="298"/>
      <c r="Z30" s="298"/>
      <c r="AA30" s="298"/>
      <c r="AB30" s="298"/>
      <c r="AC30" s="298"/>
      <c r="AD30" s="298"/>
      <c r="AE30" s="298"/>
      <c r="AF30" s="298"/>
      <c r="AG30" s="298"/>
      <c r="AH30" s="298"/>
      <c r="AI30" s="298"/>
      <c r="AJ30" s="299"/>
      <c r="AM30" s="254">
        <v>46419</v>
      </c>
      <c r="AN30" s="255">
        <v>118217.70112539722</v>
      </c>
    </row>
    <row r="31" spans="24:40" x14ac:dyDescent="0.25">
      <c r="X31" s="300"/>
      <c r="Y31" s="301"/>
      <c r="Z31" s="301"/>
      <c r="AA31" s="301"/>
      <c r="AB31" s="301"/>
      <c r="AC31" s="301"/>
      <c r="AD31" s="301"/>
      <c r="AE31" s="301"/>
      <c r="AF31" s="301"/>
      <c r="AG31" s="301"/>
      <c r="AH31" s="301"/>
      <c r="AI31" s="301"/>
      <c r="AJ31" s="302"/>
      <c r="AM31" s="254">
        <v>46447</v>
      </c>
      <c r="AN31" s="255">
        <v>120436.56049987477</v>
      </c>
    </row>
    <row r="32" spans="24:40" x14ac:dyDescent="0.25">
      <c r="X32" s="300"/>
      <c r="Y32" s="301"/>
      <c r="Z32" s="301"/>
      <c r="AA32" s="301"/>
      <c r="AB32" s="301"/>
      <c r="AC32" s="301"/>
      <c r="AD32" s="301"/>
      <c r="AE32" s="301"/>
      <c r="AF32" s="301"/>
      <c r="AG32" s="301"/>
      <c r="AH32" s="301"/>
      <c r="AI32" s="301"/>
      <c r="AJ32" s="302"/>
      <c r="AM32" s="254">
        <v>46478</v>
      </c>
      <c r="AN32" s="255">
        <v>122697.06623421924</v>
      </c>
    </row>
    <row r="33" spans="24:40" x14ac:dyDescent="0.25">
      <c r="X33" s="300"/>
      <c r="Y33" s="301"/>
      <c r="Z33" s="301"/>
      <c r="AA33" s="301"/>
      <c r="AB33" s="301"/>
      <c r="AC33" s="301"/>
      <c r="AD33" s="301"/>
      <c r="AE33" s="301"/>
      <c r="AF33" s="301"/>
      <c r="AG33" s="301"/>
      <c r="AH33" s="301"/>
      <c r="AI33" s="301"/>
      <c r="AJ33" s="302"/>
      <c r="AM33" s="254">
        <v>46508</v>
      </c>
      <c r="AN33" s="255">
        <v>125000.00000000029</v>
      </c>
    </row>
    <row r="34" spans="24:40" x14ac:dyDescent="0.25">
      <c r="X34" s="300"/>
      <c r="Y34" s="301"/>
      <c r="Z34" s="301"/>
      <c r="AA34" s="301"/>
      <c r="AB34" s="301"/>
      <c r="AC34" s="301"/>
      <c r="AD34" s="301"/>
      <c r="AE34" s="301"/>
      <c r="AF34" s="301"/>
      <c r="AG34" s="301"/>
      <c r="AH34" s="301"/>
      <c r="AI34" s="301"/>
      <c r="AJ34" s="302"/>
      <c r="AM34" s="254">
        <v>46539</v>
      </c>
      <c r="AN34" s="255">
        <v>127346.15814018856</v>
      </c>
    </row>
    <row r="35" spans="24:40" x14ac:dyDescent="0.25">
      <c r="X35" s="300"/>
      <c r="Y35" s="301"/>
      <c r="Z35" s="301"/>
      <c r="AA35" s="301"/>
      <c r="AB35" s="301"/>
      <c r="AC35" s="301"/>
      <c r="AD35" s="301"/>
      <c r="AE35" s="301"/>
      <c r="AF35" s="301"/>
      <c r="AG35" s="301"/>
      <c r="AH35" s="301"/>
      <c r="AI35" s="301"/>
      <c r="AJ35" s="302"/>
      <c r="AM35" s="254">
        <v>46569</v>
      </c>
      <c r="AN35" s="255">
        <v>129736.35194452701</v>
      </c>
    </row>
    <row r="36" spans="24:40" x14ac:dyDescent="0.25">
      <c r="X36" s="300"/>
      <c r="Y36" s="301"/>
      <c r="Z36" s="301"/>
      <c r="AA36" s="301"/>
      <c r="AB36" s="301"/>
      <c r="AC36" s="301"/>
      <c r="AD36" s="301"/>
      <c r="AE36" s="301"/>
      <c r="AF36" s="301"/>
      <c r="AG36" s="301"/>
      <c r="AH36" s="301"/>
      <c r="AI36" s="301"/>
      <c r="AJ36" s="302"/>
      <c r="AM36" s="254">
        <v>46600</v>
      </c>
      <c r="AN36" s="255">
        <v>132171.40793007085</v>
      </c>
    </row>
    <row r="37" spans="24:40" x14ac:dyDescent="0.25">
      <c r="X37" s="300"/>
      <c r="Y37" s="301"/>
      <c r="Z37" s="301"/>
      <c r="AA37" s="301"/>
      <c r="AB37" s="301"/>
      <c r="AC37" s="301"/>
      <c r="AD37" s="301"/>
      <c r="AE37" s="301"/>
      <c r="AF37" s="301"/>
      <c r="AG37" s="301"/>
      <c r="AH37" s="301"/>
      <c r="AI37" s="301"/>
      <c r="AJ37" s="302"/>
      <c r="AM37" s="254">
        <v>46631</v>
      </c>
      <c r="AN37" s="255">
        <v>134652.16812699309</v>
      </c>
    </row>
    <row r="38" spans="24:40" x14ac:dyDescent="0.25">
      <c r="X38" s="300"/>
      <c r="Y38" s="301"/>
      <c r="Z38" s="301"/>
      <c r="AA38" s="301"/>
      <c r="AB38" s="301"/>
      <c r="AC38" s="301"/>
      <c r="AD38" s="301"/>
      <c r="AE38" s="301"/>
      <c r="AF38" s="301"/>
      <c r="AG38" s="301"/>
      <c r="AH38" s="301"/>
      <c r="AI38" s="301"/>
      <c r="AJ38" s="302"/>
      <c r="AM38" s="254">
        <v>46661</v>
      </c>
      <c r="AN38" s="255">
        <v>137179.49036975423</v>
      </c>
    </row>
    <row r="39" spans="24:40" x14ac:dyDescent="0.25">
      <c r="X39" s="300"/>
      <c r="Y39" s="301"/>
      <c r="Z39" s="301"/>
      <c r="AA39" s="301"/>
      <c r="AB39" s="301"/>
      <c r="AC39" s="301"/>
      <c r="AD39" s="301"/>
      <c r="AE39" s="301"/>
      <c r="AF39" s="301"/>
      <c r="AG39" s="301"/>
      <c r="AH39" s="301"/>
      <c r="AI39" s="301"/>
      <c r="AJ39" s="302"/>
      <c r="AM39" s="254">
        <v>46692</v>
      </c>
      <c r="AN39" s="255">
        <v>139754.24859373725</v>
      </c>
    </row>
    <row r="40" spans="24:40" x14ac:dyDescent="0.25">
      <c r="X40" s="300"/>
      <c r="Y40" s="301"/>
      <c r="Z40" s="301"/>
      <c r="AA40" s="301"/>
      <c r="AB40" s="301"/>
      <c r="AC40" s="301"/>
      <c r="AD40" s="301"/>
      <c r="AE40" s="301"/>
      <c r="AF40" s="301"/>
      <c r="AG40" s="301"/>
      <c r="AH40" s="301"/>
      <c r="AI40" s="301"/>
      <c r="AJ40" s="302"/>
      <c r="AM40" s="254">
        <v>46722</v>
      </c>
      <c r="AN40" s="255">
        <v>142377.33313744998</v>
      </c>
    </row>
    <row r="41" spans="24:40" x14ac:dyDescent="0.25">
      <c r="X41" s="300"/>
      <c r="Y41" s="301"/>
      <c r="Z41" s="301"/>
      <c r="AA41" s="301"/>
      <c r="AB41" s="301"/>
      <c r="AC41" s="301"/>
      <c r="AD41" s="301"/>
      <c r="AE41" s="301"/>
      <c r="AF41" s="301"/>
      <c r="AG41" s="301"/>
      <c r="AH41" s="301"/>
      <c r="AI41" s="301"/>
      <c r="AJ41" s="302"/>
      <c r="AM41" s="254">
        <v>46753</v>
      </c>
      <c r="AN41" s="255">
        <v>145049.65105039979</v>
      </c>
    </row>
    <row r="42" spans="24:40" x14ac:dyDescent="0.25">
      <c r="X42" s="300"/>
      <c r="Y42" s="301"/>
      <c r="Z42" s="301"/>
      <c r="AA42" s="301"/>
      <c r="AB42" s="301"/>
      <c r="AC42" s="301"/>
      <c r="AD42" s="301"/>
      <c r="AE42" s="301"/>
      <c r="AF42" s="301"/>
      <c r="AG42" s="301"/>
      <c r="AH42" s="301"/>
      <c r="AI42" s="301"/>
      <c r="AJ42" s="302"/>
      <c r="AM42" s="254">
        <v>46784</v>
      </c>
      <c r="AN42" s="255">
        <v>147772.12640674668</v>
      </c>
    </row>
    <row r="43" spans="24:40" x14ac:dyDescent="0.25">
      <c r="X43" s="300"/>
      <c r="Y43" s="301"/>
      <c r="Z43" s="301"/>
      <c r="AA43" s="301"/>
      <c r="AB43" s="301"/>
      <c r="AC43" s="301"/>
      <c r="AD43" s="301"/>
      <c r="AE43" s="301"/>
      <c r="AF43" s="301"/>
      <c r="AG43" s="301"/>
      <c r="AH43" s="301"/>
      <c r="AI43" s="301"/>
      <c r="AJ43" s="302"/>
      <c r="AM43" s="254">
        <v>46813</v>
      </c>
      <c r="AN43" s="255">
        <v>150545.70062484362</v>
      </c>
    </row>
    <row r="44" spans="24:40" x14ac:dyDescent="0.25">
      <c r="X44" s="300"/>
      <c r="Y44" s="301"/>
      <c r="Z44" s="301"/>
      <c r="AA44" s="301"/>
      <c r="AB44" s="301"/>
      <c r="AC44" s="301"/>
      <c r="AD44" s="301"/>
      <c r="AE44" s="301"/>
      <c r="AF44" s="301"/>
      <c r="AG44" s="301"/>
      <c r="AH44" s="301"/>
      <c r="AI44" s="301"/>
      <c r="AJ44" s="302"/>
      <c r="AM44" s="254">
        <v>46844</v>
      </c>
      <c r="AN44" s="255">
        <v>153371.33279277419</v>
      </c>
    </row>
    <row r="45" spans="24:40" ht="15.75" thickBot="1" x14ac:dyDescent="0.3">
      <c r="X45" s="303"/>
      <c r="Y45" s="304"/>
      <c r="Z45" s="304"/>
      <c r="AA45" s="304"/>
      <c r="AB45" s="304"/>
      <c r="AC45" s="304"/>
      <c r="AD45" s="304"/>
      <c r="AE45" s="304"/>
      <c r="AF45" s="304"/>
      <c r="AG45" s="304"/>
      <c r="AH45" s="304"/>
      <c r="AI45" s="304"/>
      <c r="AJ45" s="305"/>
      <c r="AM45" s="254">
        <v>46874</v>
      </c>
      <c r="AN45" s="255">
        <v>156250.00000000052</v>
      </c>
    </row>
    <row r="46" spans="24:40" x14ac:dyDescent="0.25">
      <c r="AM46" s="254">
        <v>46905</v>
      </c>
      <c r="AN46" s="255">
        <v>159182.69767523586</v>
      </c>
    </row>
    <row r="47" spans="24:40" x14ac:dyDescent="0.25">
      <c r="AM47" s="254">
        <v>46935</v>
      </c>
      <c r="AN47" s="255">
        <v>162170.4399306589</v>
      </c>
    </row>
  </sheetData>
  <mergeCells count="1">
    <mergeCell ref="X30:AJ4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E92BB-81CB-4F87-BE6A-56169BD2D020}">
  <dimension ref="A1:H35"/>
  <sheetViews>
    <sheetView workbookViewId="0">
      <selection activeCell="H26" sqref="H26"/>
    </sheetView>
  </sheetViews>
  <sheetFormatPr defaultRowHeight="15" x14ac:dyDescent="0.25"/>
  <cols>
    <col min="4" max="4" width="44.7109375" customWidth="1"/>
    <col min="5" max="5" width="14.28515625" style="138" bestFit="1" customWidth="1"/>
    <col min="6" max="6" width="14.28515625" style="13" bestFit="1" customWidth="1"/>
  </cols>
  <sheetData>
    <row r="1" spans="1:8" x14ac:dyDescent="0.25">
      <c r="A1" s="140" t="s">
        <v>99</v>
      </c>
      <c r="B1" s="141"/>
      <c r="C1" s="141"/>
      <c r="D1" s="141" t="s">
        <v>100</v>
      </c>
      <c r="E1" s="145" t="s">
        <v>101</v>
      </c>
      <c r="F1" s="142" t="s">
        <v>102</v>
      </c>
      <c r="G1" s="141" t="s">
        <v>103</v>
      </c>
      <c r="H1" s="136">
        <v>1.4</v>
      </c>
    </row>
    <row r="2" spans="1:8" x14ac:dyDescent="0.25">
      <c r="A2" s="143"/>
      <c r="B2" s="143">
        <v>1.1000000000000001</v>
      </c>
      <c r="C2" s="143"/>
      <c r="D2" s="143" t="s">
        <v>79</v>
      </c>
      <c r="E2" s="146">
        <f>SUM(E3:E4)</f>
        <v>160000</v>
      </c>
      <c r="F2" s="144">
        <f t="shared" ref="F2:F35" si="0">E2*$H$1</f>
        <v>224000</v>
      </c>
    </row>
    <row r="3" spans="1:8" x14ac:dyDescent="0.25">
      <c r="C3" t="s">
        <v>104</v>
      </c>
      <c r="D3" t="s">
        <v>105</v>
      </c>
      <c r="E3" s="138">
        <v>80000</v>
      </c>
      <c r="F3" s="13">
        <f t="shared" si="0"/>
        <v>112000</v>
      </c>
    </row>
    <row r="4" spans="1:8" x14ac:dyDescent="0.25">
      <c r="C4" t="s">
        <v>106</v>
      </c>
      <c r="D4" t="s">
        <v>107</v>
      </c>
      <c r="E4" s="138">
        <v>80000</v>
      </c>
      <c r="F4" s="13">
        <f t="shared" si="0"/>
        <v>112000</v>
      </c>
    </row>
    <row r="5" spans="1:8" x14ac:dyDescent="0.25">
      <c r="A5" s="143"/>
      <c r="B5" s="143">
        <v>1.2</v>
      </c>
      <c r="C5" s="143"/>
      <c r="D5" s="143" t="s">
        <v>19</v>
      </c>
      <c r="E5" s="146">
        <f>SUM(E6:E7)</f>
        <v>432000</v>
      </c>
      <c r="F5" s="144">
        <f t="shared" si="0"/>
        <v>604800</v>
      </c>
    </row>
    <row r="6" spans="1:8" x14ac:dyDescent="0.25">
      <c r="C6" t="s">
        <v>108</v>
      </c>
      <c r="D6" t="s">
        <v>109</v>
      </c>
      <c r="E6" s="138">
        <f>400*360</f>
        <v>144000</v>
      </c>
      <c r="F6" s="13">
        <f t="shared" si="0"/>
        <v>201600</v>
      </c>
    </row>
    <row r="7" spans="1:8" x14ac:dyDescent="0.25">
      <c r="C7" t="s">
        <v>110</v>
      </c>
      <c r="D7" t="s">
        <v>111</v>
      </c>
      <c r="E7" s="138">
        <f>400*720</f>
        <v>288000</v>
      </c>
      <c r="F7" s="13">
        <f t="shared" si="0"/>
        <v>403200</v>
      </c>
    </row>
    <row r="8" spans="1:8" x14ac:dyDescent="0.25">
      <c r="A8" s="143"/>
      <c r="B8" s="143">
        <v>1.3</v>
      </c>
      <c r="C8" s="143"/>
      <c r="D8" s="143" t="s">
        <v>52</v>
      </c>
      <c r="E8" s="146">
        <f>SUM(E9:E10)</f>
        <v>90000</v>
      </c>
      <c r="F8" s="144">
        <f t="shared" si="0"/>
        <v>125999.99999999999</v>
      </c>
    </row>
    <row r="9" spans="1:8" x14ac:dyDescent="0.25">
      <c r="C9" t="s">
        <v>112</v>
      </c>
      <c r="D9" t="s">
        <v>113</v>
      </c>
      <c r="E9" s="138">
        <v>30000</v>
      </c>
      <c r="F9" s="13">
        <f t="shared" si="0"/>
        <v>42000</v>
      </c>
    </row>
    <row r="10" spans="1:8" x14ac:dyDescent="0.25">
      <c r="C10" t="s">
        <v>114</v>
      </c>
      <c r="D10" t="s">
        <v>115</v>
      </c>
      <c r="E10" s="138">
        <f>2*30000</f>
        <v>60000</v>
      </c>
      <c r="F10" s="13">
        <f t="shared" si="0"/>
        <v>84000</v>
      </c>
    </row>
    <row r="11" spans="1:8" x14ac:dyDescent="0.25">
      <c r="A11" s="143"/>
      <c r="B11" s="143">
        <v>1.4</v>
      </c>
      <c r="C11" s="143"/>
      <c r="D11" s="143" t="s">
        <v>116</v>
      </c>
      <c r="E11" s="146">
        <f>SUM(E12:E13)</f>
        <v>17000</v>
      </c>
      <c r="F11" s="144">
        <f t="shared" si="0"/>
        <v>23800</v>
      </c>
    </row>
    <row r="12" spans="1:8" x14ac:dyDescent="0.25">
      <c r="C12" t="s">
        <v>117</v>
      </c>
      <c r="D12" t="s">
        <v>118</v>
      </c>
      <c r="E12" s="138">
        <v>15000</v>
      </c>
      <c r="F12" s="13">
        <f t="shared" si="0"/>
        <v>21000</v>
      </c>
    </row>
    <row r="13" spans="1:8" x14ac:dyDescent="0.25">
      <c r="C13" t="s">
        <v>119</v>
      </c>
      <c r="D13" t="s">
        <v>120</v>
      </c>
      <c r="E13" s="138">
        <v>2000</v>
      </c>
      <c r="F13" s="13">
        <f t="shared" si="0"/>
        <v>2800</v>
      </c>
    </row>
    <row r="14" spans="1:8" x14ac:dyDescent="0.25">
      <c r="A14" s="143"/>
      <c r="B14" s="143">
        <v>1.5</v>
      </c>
      <c r="C14" s="143"/>
      <c r="D14" s="143" t="s">
        <v>121</v>
      </c>
      <c r="E14" s="146">
        <f>SUM(E15:E18)</f>
        <v>18000</v>
      </c>
      <c r="F14" s="144">
        <f t="shared" si="0"/>
        <v>25200</v>
      </c>
    </row>
    <row r="15" spans="1:8" x14ac:dyDescent="0.25">
      <c r="D15" t="s">
        <v>122</v>
      </c>
      <c r="E15" s="138">
        <v>12000</v>
      </c>
      <c r="F15" s="13">
        <f t="shared" si="0"/>
        <v>16800</v>
      </c>
    </row>
    <row r="16" spans="1:8" x14ac:dyDescent="0.25">
      <c r="D16" t="s">
        <v>123</v>
      </c>
      <c r="E16" s="138">
        <v>2000</v>
      </c>
      <c r="F16" s="13">
        <f t="shared" si="0"/>
        <v>2800</v>
      </c>
    </row>
    <row r="17" spans="1:6" x14ac:dyDescent="0.25">
      <c r="D17" t="s">
        <v>124</v>
      </c>
      <c r="E17" s="138">
        <v>2000</v>
      </c>
      <c r="F17" s="13">
        <f t="shared" si="0"/>
        <v>2800</v>
      </c>
    </row>
    <row r="18" spans="1:6" x14ac:dyDescent="0.25">
      <c r="D18" t="s">
        <v>125</v>
      </c>
      <c r="E18" s="138">
        <v>2000</v>
      </c>
      <c r="F18" s="13">
        <f t="shared" si="0"/>
        <v>2800</v>
      </c>
    </row>
    <row r="19" spans="1:6" x14ac:dyDescent="0.25">
      <c r="A19" s="143"/>
      <c r="B19" s="143">
        <v>1.6</v>
      </c>
      <c r="C19" s="143"/>
      <c r="D19" s="143" t="s">
        <v>126</v>
      </c>
      <c r="E19" s="146">
        <f>SUM(E20:E23)</f>
        <v>5500</v>
      </c>
      <c r="F19" s="144">
        <f t="shared" si="0"/>
        <v>7699.9999999999991</v>
      </c>
    </row>
    <row r="20" spans="1:6" x14ac:dyDescent="0.25">
      <c r="D20" t="s">
        <v>122</v>
      </c>
      <c r="E20" s="138">
        <v>1500</v>
      </c>
      <c r="F20" s="13">
        <f t="shared" si="0"/>
        <v>2100</v>
      </c>
    </row>
    <row r="21" spans="1:6" x14ac:dyDescent="0.25">
      <c r="D21" t="s">
        <v>123</v>
      </c>
      <c r="E21" s="138">
        <v>1000</v>
      </c>
      <c r="F21" s="13">
        <f t="shared" si="0"/>
        <v>1400</v>
      </c>
    </row>
    <row r="22" spans="1:6" x14ac:dyDescent="0.25">
      <c r="D22" t="s">
        <v>124</v>
      </c>
      <c r="E22" s="138">
        <v>1000</v>
      </c>
      <c r="F22" s="13">
        <f t="shared" si="0"/>
        <v>1400</v>
      </c>
    </row>
    <row r="23" spans="1:6" x14ac:dyDescent="0.25">
      <c r="D23" t="s">
        <v>125</v>
      </c>
      <c r="E23" s="138">
        <v>2000</v>
      </c>
      <c r="F23" s="13">
        <f t="shared" si="0"/>
        <v>2800</v>
      </c>
    </row>
    <row r="24" spans="1:6" x14ac:dyDescent="0.25">
      <c r="A24" s="143"/>
      <c r="B24" s="143">
        <v>1.7</v>
      </c>
      <c r="C24" s="143"/>
      <c r="D24" s="143" t="s">
        <v>21</v>
      </c>
      <c r="E24" s="146">
        <f>SUM(E25:E28)</f>
        <v>0</v>
      </c>
      <c r="F24" s="144">
        <f t="shared" si="0"/>
        <v>0</v>
      </c>
    </row>
    <row r="25" spans="1:6" x14ac:dyDescent="0.25">
      <c r="F25" s="13">
        <f t="shared" si="0"/>
        <v>0</v>
      </c>
    </row>
    <row r="26" spans="1:6" x14ac:dyDescent="0.25">
      <c r="F26" s="13">
        <f t="shared" si="0"/>
        <v>0</v>
      </c>
    </row>
    <row r="27" spans="1:6" x14ac:dyDescent="0.25">
      <c r="F27" s="13">
        <f t="shared" si="0"/>
        <v>0</v>
      </c>
    </row>
    <row r="28" spans="1:6" x14ac:dyDescent="0.25">
      <c r="F28" s="13">
        <f t="shared" si="0"/>
        <v>0</v>
      </c>
    </row>
    <row r="29" spans="1:6" x14ac:dyDescent="0.25">
      <c r="F29" s="13">
        <f t="shared" si="0"/>
        <v>0</v>
      </c>
    </row>
    <row r="30" spans="1:6" x14ac:dyDescent="0.25">
      <c r="A30" s="143"/>
      <c r="B30" s="143">
        <v>1.8</v>
      </c>
      <c r="C30" s="143"/>
      <c r="D30" s="143" t="s">
        <v>127</v>
      </c>
      <c r="E30" s="146">
        <f>SUM(E31:E34)</f>
        <v>0</v>
      </c>
      <c r="F30" s="144">
        <f t="shared" si="0"/>
        <v>0</v>
      </c>
    </row>
    <row r="31" spans="1:6" x14ac:dyDescent="0.25">
      <c r="F31" s="13">
        <f t="shared" si="0"/>
        <v>0</v>
      </c>
    </row>
    <row r="32" spans="1:6" x14ac:dyDescent="0.25">
      <c r="F32" s="13">
        <f t="shared" si="0"/>
        <v>0</v>
      </c>
    </row>
    <row r="33" spans="6:6" x14ac:dyDescent="0.25">
      <c r="F33" s="13">
        <f t="shared" si="0"/>
        <v>0</v>
      </c>
    </row>
    <row r="34" spans="6:6" x14ac:dyDescent="0.25">
      <c r="F34" s="13">
        <f t="shared" si="0"/>
        <v>0</v>
      </c>
    </row>
    <row r="35" spans="6:6" x14ac:dyDescent="0.25">
      <c r="F35" s="13">
        <f t="shared" si="0"/>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557A6-68E1-4360-B74E-B8D1893016AC}">
  <sheetPr codeName="Sheet1">
    <tabColor rgb="FF00B050"/>
  </sheetPr>
  <dimension ref="A1:Q42"/>
  <sheetViews>
    <sheetView topLeftCell="A6" zoomScaleNormal="100" workbookViewId="0">
      <selection activeCell="D26" sqref="D26"/>
    </sheetView>
  </sheetViews>
  <sheetFormatPr defaultRowHeight="15" x14ac:dyDescent="0.25"/>
  <cols>
    <col min="1" max="1" width="36" bestFit="1" customWidth="1"/>
    <col min="2" max="2" width="14" bestFit="1" customWidth="1"/>
    <col min="3" max="3" width="13.85546875" bestFit="1" customWidth="1"/>
    <col min="4" max="4" width="13.28515625" bestFit="1" customWidth="1"/>
    <col min="5" max="5" width="13.42578125" bestFit="1" customWidth="1"/>
    <col min="6" max="6" width="16.140625" bestFit="1" customWidth="1"/>
    <col min="7" max="7" width="14.28515625" bestFit="1" customWidth="1"/>
    <col min="8" max="8" width="15.28515625" customWidth="1"/>
    <col min="9" max="9" width="7.140625" bestFit="1" customWidth="1"/>
    <col min="10" max="10" width="21.42578125" customWidth="1"/>
    <col min="11" max="11" width="16.140625" bestFit="1" customWidth="1"/>
    <col min="12" max="12" width="20.42578125" customWidth="1"/>
    <col min="13" max="13" width="14.28515625" bestFit="1" customWidth="1"/>
  </cols>
  <sheetData>
    <row r="1" spans="1:17" ht="15" customHeight="1" x14ac:dyDescent="0.25">
      <c r="A1" s="306" t="s">
        <v>128</v>
      </c>
      <c r="B1" s="307"/>
      <c r="C1" s="307"/>
      <c r="D1" s="307"/>
      <c r="E1" s="307"/>
      <c r="F1" s="307"/>
      <c r="G1" s="307"/>
      <c r="H1" s="307"/>
      <c r="I1" s="308"/>
      <c r="J1" s="1"/>
      <c r="K1" s="1"/>
      <c r="L1" s="1"/>
      <c r="M1" s="1"/>
      <c r="N1" s="1"/>
      <c r="O1" s="1"/>
      <c r="P1" s="1"/>
      <c r="Q1" s="1"/>
    </row>
    <row r="2" spans="1:17" ht="15" customHeight="1" x14ac:dyDescent="0.25">
      <c r="A2" s="309"/>
      <c r="B2" s="310"/>
      <c r="C2" s="310"/>
      <c r="D2" s="310"/>
      <c r="E2" s="310"/>
      <c r="F2" s="310"/>
      <c r="G2" s="310"/>
      <c r="H2" s="310"/>
      <c r="I2" s="311"/>
      <c r="J2" s="1"/>
      <c r="K2" s="1"/>
      <c r="L2" s="1"/>
      <c r="M2" s="1"/>
      <c r="N2" s="1"/>
      <c r="O2" s="1"/>
      <c r="P2" s="1"/>
      <c r="Q2" s="1"/>
    </row>
    <row r="3" spans="1:17" ht="15.75" customHeight="1" thickBot="1" x14ac:dyDescent="0.3">
      <c r="A3" s="312"/>
      <c r="B3" s="313"/>
      <c r="C3" s="313"/>
      <c r="D3" s="313"/>
      <c r="E3" s="313"/>
      <c r="F3" s="313"/>
      <c r="G3" s="313"/>
      <c r="H3" s="313"/>
      <c r="I3" s="314"/>
      <c r="J3" s="1"/>
      <c r="K3" s="1"/>
      <c r="L3" s="1"/>
      <c r="M3" s="1"/>
      <c r="N3" s="1"/>
      <c r="O3" s="1"/>
      <c r="P3" s="1"/>
      <c r="Q3" s="1"/>
    </row>
    <row r="4" spans="1:17" ht="15.75" thickBot="1" x14ac:dyDescent="0.3">
      <c r="A4" s="1"/>
      <c r="B4" s="1"/>
      <c r="C4" s="1"/>
      <c r="D4" s="71" t="s">
        <v>24</v>
      </c>
      <c r="E4" s="1"/>
      <c r="H4" s="15"/>
      <c r="M4" s="1"/>
      <c r="N4" s="1"/>
      <c r="O4" s="1"/>
      <c r="P4" s="1"/>
      <c r="Q4" s="1"/>
    </row>
    <row r="5" spans="1:17" ht="15.75" thickBot="1" x14ac:dyDescent="0.3">
      <c r="A5" s="11" t="s">
        <v>25</v>
      </c>
      <c r="B5" s="12">
        <v>3</v>
      </c>
      <c r="C5" s="1"/>
      <c r="D5" s="1"/>
      <c r="E5" s="1"/>
      <c r="H5" s="15"/>
      <c r="M5" s="1"/>
      <c r="N5" s="1"/>
      <c r="O5" s="1"/>
      <c r="P5" s="1"/>
      <c r="Q5" s="1"/>
    </row>
    <row r="6" spans="1:17" ht="17.25" customHeight="1" thickBot="1" x14ac:dyDescent="0.3">
      <c r="A6" s="2" t="s">
        <v>26</v>
      </c>
      <c r="B6" s="65">
        <f>B7*1.14</f>
        <v>3.42</v>
      </c>
      <c r="C6" s="1"/>
      <c r="D6" s="319" t="s">
        <v>27</v>
      </c>
      <c r="E6" s="320"/>
      <c r="F6" s="321"/>
      <c r="H6" s="15"/>
      <c r="M6" s="1"/>
      <c r="N6" s="1"/>
      <c r="O6" s="1"/>
      <c r="P6" s="1"/>
      <c r="Q6" s="1"/>
    </row>
    <row r="7" spans="1:17" ht="15.75" thickBot="1" x14ac:dyDescent="0.3">
      <c r="A7" s="2" t="s">
        <v>28</v>
      </c>
      <c r="B7" s="3">
        <v>3</v>
      </c>
      <c r="C7" s="1"/>
      <c r="D7" s="66" t="s">
        <v>29</v>
      </c>
      <c r="E7" s="315">
        <f>B6</f>
        <v>3.42</v>
      </c>
      <c r="F7" s="316"/>
      <c r="H7" s="15"/>
      <c r="M7" s="1"/>
      <c r="N7" s="1"/>
      <c r="O7" s="1"/>
      <c r="P7" s="1"/>
      <c r="Q7" s="1"/>
    </row>
    <row r="8" spans="1:17" ht="15.75" thickBot="1" x14ac:dyDescent="0.3">
      <c r="A8" s="2" t="s">
        <v>30</v>
      </c>
      <c r="B8" s="3">
        <v>3</v>
      </c>
      <c r="C8" s="1"/>
      <c r="D8" s="6" t="s">
        <v>31</v>
      </c>
      <c r="E8" s="317">
        <f>SUM(B24:B31)/E7</f>
        <v>242631.57894736843</v>
      </c>
      <c r="F8" s="318"/>
      <c r="H8" s="15"/>
      <c r="L8" s="1"/>
      <c r="M8" s="1"/>
      <c r="N8" s="1"/>
      <c r="O8" s="1"/>
      <c r="P8" s="1"/>
      <c r="Q8" s="1"/>
    </row>
    <row r="9" spans="1:17" ht="15.75" thickBot="1" x14ac:dyDescent="0.3">
      <c r="A9" s="1"/>
      <c r="B9" s="1"/>
      <c r="C9" s="1"/>
      <c r="D9" s="1"/>
      <c r="E9" s="1"/>
      <c r="F9" s="1"/>
      <c r="H9" s="15"/>
      <c r="L9" s="1"/>
      <c r="M9" s="1"/>
      <c r="N9" s="1"/>
      <c r="O9" s="1"/>
      <c r="P9" s="1"/>
      <c r="Q9" s="1"/>
    </row>
    <row r="10" spans="1:17" x14ac:dyDescent="0.25">
      <c r="A10" s="1"/>
      <c r="B10" s="1"/>
      <c r="C10" s="1"/>
      <c r="E10" s="1"/>
      <c r="F10" s="115" t="s">
        <v>32</v>
      </c>
      <c r="G10" s="120">
        <v>3250</v>
      </c>
      <c r="H10" s="15"/>
      <c r="L10" s="1"/>
      <c r="M10" s="1"/>
      <c r="N10" s="1"/>
      <c r="O10" s="1"/>
      <c r="P10" s="1"/>
      <c r="Q10" s="1"/>
    </row>
    <row r="11" spans="1:17" ht="15.75" thickBot="1" x14ac:dyDescent="0.3">
      <c r="C11" s="1"/>
      <c r="E11" s="1">
        <f>'Site 2 Cost Model'!A3</f>
        <v>80000</v>
      </c>
      <c r="F11" s="121" t="s">
        <v>33</v>
      </c>
      <c r="G11" s="122">
        <v>800000000</v>
      </c>
      <c r="H11" s="15"/>
      <c r="L11" s="1"/>
      <c r="M11" s="1"/>
      <c r="N11" s="1"/>
      <c r="O11" s="1"/>
      <c r="P11" s="1"/>
      <c r="Q11" s="1"/>
    </row>
    <row r="12" spans="1:17" ht="15.75" thickBot="1" x14ac:dyDescent="0.3">
      <c r="A12" s="80" t="s">
        <v>34</v>
      </c>
      <c r="B12" s="81">
        <v>80000</v>
      </c>
      <c r="C12" s="1"/>
      <c r="D12" s="115" t="s">
        <v>19</v>
      </c>
      <c r="E12" s="116" t="s">
        <v>35</v>
      </c>
      <c r="F12" s="116" t="s">
        <v>22</v>
      </c>
      <c r="G12" s="117" t="s">
        <v>36</v>
      </c>
      <c r="H12" s="15"/>
      <c r="L12" s="1"/>
      <c r="M12" s="1"/>
      <c r="N12" s="1"/>
      <c r="O12" s="1"/>
      <c r="P12" s="1"/>
      <c r="Q12" s="1"/>
    </row>
    <row r="13" spans="1:17" ht="15.75" thickBot="1" x14ac:dyDescent="0.3">
      <c r="A13" s="82" t="s">
        <v>37</v>
      </c>
      <c r="B13" s="83">
        <v>30000</v>
      </c>
      <c r="C13" s="1"/>
      <c r="D13" s="6" t="s">
        <v>38</v>
      </c>
      <c r="E13" s="118">
        <v>104</v>
      </c>
      <c r="F13" s="119">
        <f>B6*1000/(G10/1000)</f>
        <v>1052.3076923076924</v>
      </c>
      <c r="G13" s="162">
        <f>(F13*E13)/G11*3.125*6*24*28</f>
        <v>1.7236800000000001</v>
      </c>
      <c r="H13" s="15"/>
      <c r="L13" s="1"/>
      <c r="M13" s="1"/>
      <c r="N13" s="1"/>
      <c r="O13" s="1"/>
      <c r="P13" s="1"/>
      <c r="Q13" s="1"/>
    </row>
    <row r="14" spans="1:17" ht="15.75" thickBot="1" x14ac:dyDescent="0.3">
      <c r="A14" s="82" t="s">
        <v>129</v>
      </c>
      <c r="B14" s="83"/>
      <c r="C14" s="1"/>
      <c r="H14" s="15"/>
      <c r="L14" s="1"/>
      <c r="M14" s="1"/>
      <c r="N14" s="1"/>
      <c r="O14" s="1"/>
      <c r="P14" s="1"/>
      <c r="Q14" s="1"/>
    </row>
    <row r="15" spans="1:17" ht="15.75" thickBot="1" x14ac:dyDescent="0.3">
      <c r="A15" s="84" t="s">
        <v>39</v>
      </c>
      <c r="B15" s="85">
        <v>10000</v>
      </c>
      <c r="C15" s="1"/>
      <c r="H15" s="15"/>
      <c r="L15" s="1"/>
      <c r="M15" s="1"/>
      <c r="N15" s="1"/>
      <c r="O15" s="1"/>
      <c r="P15" s="1"/>
      <c r="Q15" s="1"/>
    </row>
    <row r="16" spans="1:17" ht="15.75" customHeight="1" thickBot="1" x14ac:dyDescent="0.3">
      <c r="A16" s="1"/>
      <c r="B16" s="1"/>
      <c r="C16" s="1"/>
      <c r="D16" s="4"/>
      <c r="E16" s="1"/>
      <c r="H16" s="15"/>
      <c r="L16" s="1"/>
      <c r="M16" s="1"/>
      <c r="N16" s="1"/>
      <c r="O16" s="1"/>
      <c r="P16" s="1"/>
      <c r="Q16" s="1"/>
    </row>
    <row r="17" spans="1:17" ht="15.75" thickBot="1" x14ac:dyDescent="0.3">
      <c r="A17" s="86" t="s">
        <v>40</v>
      </c>
      <c r="B17" s="87" t="s">
        <v>41</v>
      </c>
      <c r="C17" s="87" t="s">
        <v>42</v>
      </c>
      <c r="D17" s="87" t="s">
        <v>43</v>
      </c>
      <c r="E17" s="88" t="s">
        <v>44</v>
      </c>
      <c r="H17" s="15"/>
      <c r="L17" s="1"/>
      <c r="M17" s="1" t="s">
        <v>45</v>
      </c>
      <c r="N17" s="1"/>
      <c r="O17" s="1"/>
      <c r="P17" s="1"/>
      <c r="Q17" s="1"/>
    </row>
    <row r="18" spans="1:17" ht="15.75" x14ac:dyDescent="0.25">
      <c r="A18" s="72" t="s">
        <v>46</v>
      </c>
      <c r="B18" s="91"/>
      <c r="C18" s="91" t="s">
        <v>47</v>
      </c>
      <c r="D18" s="91"/>
      <c r="E18" s="92"/>
      <c r="F18" s="5"/>
      <c r="G18" s="5"/>
      <c r="H18" s="15"/>
      <c r="L18" s="1"/>
      <c r="M18" s="1"/>
      <c r="N18" s="1"/>
      <c r="O18" s="1"/>
      <c r="P18" s="1"/>
      <c r="Q18" s="1"/>
    </row>
    <row r="19" spans="1:17" ht="15.75" x14ac:dyDescent="0.25">
      <c r="A19" s="93" t="s">
        <v>48</v>
      </c>
      <c r="B19" s="1"/>
      <c r="C19" s="147">
        <f>$G$13</f>
        <v>1.7236800000000001</v>
      </c>
      <c r="D19" s="147">
        <f>$G$13</f>
        <v>1.7236800000000001</v>
      </c>
      <c r="E19" s="94">
        <f>$G$13</f>
        <v>1.7236800000000001</v>
      </c>
      <c r="F19" s="5"/>
      <c r="G19" s="5"/>
      <c r="H19" s="15"/>
      <c r="L19" s="1"/>
      <c r="M19" s="1"/>
      <c r="N19" s="1"/>
      <c r="O19" s="1"/>
      <c r="P19" s="1"/>
      <c r="Q19" s="1"/>
    </row>
    <row r="20" spans="1:17" ht="15.75" x14ac:dyDescent="0.25">
      <c r="A20" s="73" t="s">
        <v>49</v>
      </c>
      <c r="B20" s="95"/>
      <c r="C20" s="96">
        <f>C19</f>
        <v>1.7236800000000001</v>
      </c>
      <c r="D20" s="96">
        <f>C20+D19</f>
        <v>3.4473600000000002</v>
      </c>
      <c r="E20" s="97">
        <f>D20+E19</f>
        <v>5.1710400000000005</v>
      </c>
      <c r="F20" s="5"/>
      <c r="G20" s="5"/>
      <c r="H20" s="15"/>
      <c r="L20" s="1"/>
      <c r="M20" s="1"/>
      <c r="N20" s="1"/>
      <c r="O20" s="1"/>
      <c r="P20" s="1"/>
      <c r="Q20" s="1"/>
    </row>
    <row r="21" spans="1:17" ht="16.5" thickBot="1" x14ac:dyDescent="0.3">
      <c r="A21" s="77" t="s">
        <v>50</v>
      </c>
      <c r="B21" s="98"/>
      <c r="C21" s="99">
        <f>$E$11*C19</f>
        <v>137894.39999999999</v>
      </c>
      <c r="D21" s="99">
        <f t="shared" ref="D21:E21" si="0">$E$11*D19</f>
        <v>137894.39999999999</v>
      </c>
      <c r="E21" s="100">
        <f t="shared" si="0"/>
        <v>137894.39999999999</v>
      </c>
      <c r="F21" s="5"/>
      <c r="G21" s="5"/>
      <c r="H21" s="15"/>
      <c r="J21" s="1"/>
      <c r="K21" s="1"/>
      <c r="L21" s="1"/>
      <c r="M21" s="1"/>
      <c r="N21" s="1"/>
      <c r="O21" s="1"/>
      <c r="P21" s="1"/>
      <c r="Q21" s="1"/>
    </row>
    <row r="22" spans="1:17" x14ac:dyDescent="0.25">
      <c r="A22" s="89" t="s">
        <v>18</v>
      </c>
      <c r="B22" s="101"/>
      <c r="C22" s="101"/>
      <c r="D22" s="101"/>
      <c r="E22" s="102"/>
      <c r="H22" s="15"/>
      <c r="J22" s="1"/>
      <c r="K22" s="1"/>
      <c r="L22" s="1"/>
      <c r="M22" s="1"/>
      <c r="N22" s="1"/>
      <c r="O22" s="1"/>
      <c r="P22" s="1"/>
      <c r="Q22" s="1"/>
    </row>
    <row r="23" spans="1:17" x14ac:dyDescent="0.25">
      <c r="A23" s="74" t="s">
        <v>51</v>
      </c>
      <c r="B23" s="148"/>
      <c r="C23" s="148"/>
      <c r="D23" s="148"/>
      <c r="E23" s="103"/>
      <c r="H23" s="15"/>
      <c r="J23" s="1"/>
      <c r="K23" s="1"/>
      <c r="L23" s="1"/>
      <c r="M23" s="1"/>
      <c r="N23" s="1"/>
      <c r="O23" s="1"/>
      <c r="P23" s="1"/>
      <c r="Q23" s="1"/>
    </row>
    <row r="24" spans="1:17" x14ac:dyDescent="0.25">
      <c r="A24" s="93" t="s">
        <v>20</v>
      </c>
      <c r="B24" s="149">
        <f>B12*B7</f>
        <v>240000</v>
      </c>
      <c r="C24" s="1"/>
      <c r="D24" s="1"/>
      <c r="E24" s="104"/>
      <c r="H24" s="15"/>
      <c r="J24" s="1"/>
      <c r="K24" s="1"/>
      <c r="L24" s="1"/>
      <c r="M24" s="1"/>
      <c r="N24" s="1"/>
      <c r="O24" s="1"/>
      <c r="P24" s="1"/>
      <c r="Q24" s="1"/>
    </row>
    <row r="25" spans="1:17" x14ac:dyDescent="0.25">
      <c r="A25" s="93" t="s">
        <v>21</v>
      </c>
      <c r="B25" s="149">
        <f>B7*B15</f>
        <v>30000</v>
      </c>
      <c r="C25" s="1"/>
      <c r="D25" s="1"/>
      <c r="E25" s="104"/>
      <c r="H25" s="15"/>
      <c r="J25" s="1"/>
      <c r="K25" s="1"/>
      <c r="L25" s="1"/>
      <c r="M25" s="1"/>
      <c r="N25" s="1"/>
      <c r="O25" s="1"/>
      <c r="P25" s="1"/>
      <c r="Q25" s="1"/>
    </row>
    <row r="26" spans="1:17" x14ac:dyDescent="0.25">
      <c r="A26" s="93" t="s">
        <v>19</v>
      </c>
      <c r="B26" s="150">
        <f>360*B7*400</f>
        <v>432000</v>
      </c>
      <c r="C26" s="1"/>
      <c r="D26" s="1"/>
      <c r="E26" s="104"/>
      <c r="H26" s="15"/>
      <c r="J26" s="1"/>
      <c r="K26" s="1"/>
      <c r="L26" s="1"/>
      <c r="M26" s="1"/>
      <c r="N26" s="1"/>
      <c r="O26" s="1"/>
      <c r="P26" s="1"/>
      <c r="Q26" s="1"/>
    </row>
    <row r="27" spans="1:17" x14ac:dyDescent="0.25">
      <c r="A27" s="93" t="s">
        <v>52</v>
      </c>
      <c r="B27" s="150">
        <f>B13*B8</f>
        <v>90000</v>
      </c>
      <c r="C27" s="1"/>
      <c r="D27" s="1"/>
      <c r="E27" s="104"/>
      <c r="H27" s="15"/>
      <c r="J27" s="1"/>
      <c r="K27" s="1"/>
      <c r="L27" s="1"/>
      <c r="M27" s="1"/>
      <c r="N27" s="1"/>
      <c r="O27" s="1"/>
      <c r="P27" s="1"/>
      <c r="Q27" s="1"/>
    </row>
    <row r="28" spans="1:17" ht="15.75" x14ac:dyDescent="0.25">
      <c r="A28" s="93" t="s">
        <v>53</v>
      </c>
      <c r="B28" s="150">
        <v>10000</v>
      </c>
      <c r="C28" s="1"/>
      <c r="D28" s="1"/>
      <c r="E28" s="104"/>
      <c r="H28" s="15"/>
      <c r="J28" s="5"/>
      <c r="K28" s="5"/>
      <c r="L28" s="1"/>
      <c r="M28" s="5"/>
      <c r="N28" s="5"/>
      <c r="O28" s="1"/>
      <c r="P28" s="1"/>
      <c r="Q28" s="1"/>
    </row>
    <row r="29" spans="1:17" ht="15.75" x14ac:dyDescent="0.25">
      <c r="A29" s="93" t="s">
        <v>54</v>
      </c>
      <c r="B29" s="149">
        <v>5000</v>
      </c>
      <c r="C29" s="1"/>
      <c r="D29" s="1"/>
      <c r="E29" s="104"/>
      <c r="H29" s="15"/>
      <c r="J29" s="5"/>
      <c r="K29" s="5"/>
      <c r="L29" s="1"/>
      <c r="M29" s="5"/>
      <c r="N29" s="5"/>
      <c r="O29" s="1"/>
      <c r="P29" s="1"/>
      <c r="Q29" s="1"/>
    </row>
    <row r="30" spans="1:17" ht="15.75" x14ac:dyDescent="0.25">
      <c r="A30" s="93" t="s">
        <v>55</v>
      </c>
      <c r="B30" s="150">
        <v>3000</v>
      </c>
      <c r="C30" s="1"/>
      <c r="D30" s="1"/>
      <c r="E30" s="104"/>
      <c r="H30" s="15"/>
      <c r="N30" s="5"/>
      <c r="O30" s="1"/>
      <c r="P30" s="1"/>
      <c r="Q30" s="1"/>
    </row>
    <row r="31" spans="1:17" ht="15.75" x14ac:dyDescent="0.25">
      <c r="A31" s="93" t="s">
        <v>56</v>
      </c>
      <c r="B31" s="150">
        <f>6600*(B7)</f>
        <v>19800</v>
      </c>
      <c r="C31" s="1"/>
      <c r="D31" s="1"/>
      <c r="E31" s="104"/>
      <c r="H31" s="13"/>
      <c r="N31" s="5"/>
      <c r="O31" s="1"/>
      <c r="P31" s="1"/>
      <c r="Q31" s="1"/>
    </row>
    <row r="32" spans="1:17" x14ac:dyDescent="0.25">
      <c r="A32" s="75" t="s">
        <v>57</v>
      </c>
      <c r="B32" s="7">
        <f>SUM(B24:B31)</f>
        <v>829800</v>
      </c>
      <c r="C32" s="105"/>
      <c r="D32" s="105"/>
      <c r="E32" s="106"/>
      <c r="H32" s="14"/>
      <c r="N32" s="1"/>
      <c r="O32" s="1"/>
      <c r="P32" s="1"/>
      <c r="Q32" s="1"/>
    </row>
    <row r="33" spans="1:17" x14ac:dyDescent="0.25">
      <c r="A33" s="107"/>
      <c r="B33" s="1"/>
      <c r="C33" s="1"/>
      <c r="D33" s="1"/>
      <c r="E33" s="104"/>
      <c r="N33" s="1"/>
      <c r="O33" s="1"/>
      <c r="P33" s="1"/>
      <c r="Q33" s="1"/>
    </row>
    <row r="34" spans="1:17" ht="15.75" x14ac:dyDescent="0.25">
      <c r="A34" s="76" t="s">
        <v>58</v>
      </c>
      <c r="B34" s="108"/>
      <c r="C34" s="108"/>
      <c r="D34" s="108"/>
      <c r="E34" s="109"/>
      <c r="F34" s="5"/>
      <c r="N34" s="1"/>
      <c r="O34" s="1"/>
      <c r="P34" s="1"/>
      <c r="Q34" s="1"/>
    </row>
    <row r="35" spans="1:17" ht="15.75" x14ac:dyDescent="0.25">
      <c r="A35" s="93" t="s">
        <v>59</v>
      </c>
      <c r="B35" s="1"/>
      <c r="C35" s="110">
        <v>9000</v>
      </c>
      <c r="D35" s="110">
        <v>9000</v>
      </c>
      <c r="E35" s="111">
        <v>9000</v>
      </c>
      <c r="F35" s="5"/>
      <c r="N35" s="1"/>
      <c r="O35" s="1"/>
      <c r="P35" s="1"/>
      <c r="Q35" s="1"/>
    </row>
    <row r="36" spans="1:17" ht="16.5" customHeight="1" thickBot="1" x14ac:dyDescent="0.3">
      <c r="A36" s="90" t="s">
        <v>60</v>
      </c>
      <c r="B36" s="98"/>
      <c r="C36" s="78">
        <f>SUM(C35:C35)</f>
        <v>9000</v>
      </c>
      <c r="D36" s="78">
        <f>SUM(D35:D35)</f>
        <v>9000</v>
      </c>
      <c r="E36" s="79">
        <f>SUM(E35:E35)</f>
        <v>9000</v>
      </c>
      <c r="P36" s="1"/>
      <c r="Q36" s="1"/>
    </row>
    <row r="37" spans="1:17" x14ac:dyDescent="0.25">
      <c r="P37" s="1"/>
      <c r="Q37" s="1"/>
    </row>
    <row r="38" spans="1:17" x14ac:dyDescent="0.25">
      <c r="P38" s="1"/>
      <c r="Q38" s="1"/>
    </row>
    <row r="42" spans="1:17" ht="15" customHeight="1" x14ac:dyDescent="0.25"/>
  </sheetData>
  <mergeCells count="4">
    <mergeCell ref="A1:I3"/>
    <mergeCell ref="E7:F7"/>
    <mergeCell ref="E8:F8"/>
    <mergeCell ref="D6:F6"/>
  </mergeCell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991AA-CDDE-44B8-AB28-821C02664383}">
  <sheetPr>
    <tabColor theme="4" tint="-0.499984740745262"/>
  </sheetPr>
  <dimension ref="A1:O70"/>
  <sheetViews>
    <sheetView topLeftCell="A21" zoomScale="85" zoomScaleNormal="85" workbookViewId="0">
      <selection activeCell="B28" sqref="B28:B35"/>
    </sheetView>
  </sheetViews>
  <sheetFormatPr defaultRowHeight="15" x14ac:dyDescent="0.25"/>
  <cols>
    <col min="1" max="1" width="35" bestFit="1" customWidth="1"/>
    <col min="2" max="2" width="18.7109375" customWidth="1"/>
    <col min="3" max="9" width="16.85546875" bestFit="1" customWidth="1"/>
    <col min="10" max="10" width="16" customWidth="1"/>
    <col min="11" max="11" width="16.42578125" customWidth="1"/>
    <col min="12" max="12" width="15.7109375" bestFit="1" customWidth="1"/>
    <col min="13" max="14" width="16.85546875" bestFit="1" customWidth="1"/>
    <col min="15" max="15" width="19.7109375" customWidth="1"/>
  </cols>
  <sheetData>
    <row r="1" spans="1:15" ht="15.75" thickBot="1" x14ac:dyDescent="0.3"/>
    <row r="2" spans="1:15" ht="16.5" thickBot="1" x14ac:dyDescent="0.3">
      <c r="A2" s="56" t="s">
        <v>61</v>
      </c>
    </row>
    <row r="3" spans="1:15" ht="16.5" thickBot="1" x14ac:dyDescent="0.3">
      <c r="A3" s="58">
        <v>80000</v>
      </c>
    </row>
    <row r="4" spans="1:15" ht="16.5" thickBot="1" x14ac:dyDescent="0.3">
      <c r="A4" s="56" t="s">
        <v>62</v>
      </c>
      <c r="B4" s="55"/>
    </row>
    <row r="5" spans="1:15" ht="15.75" x14ac:dyDescent="0.25">
      <c r="A5" s="57">
        <v>850000</v>
      </c>
      <c r="B5" s="55"/>
    </row>
    <row r="6" spans="1:15" ht="16.5" thickBot="1" x14ac:dyDescent="0.3">
      <c r="A6" s="54"/>
      <c r="B6" s="55"/>
    </row>
    <row r="7" spans="1:15" ht="16.5" thickBot="1" x14ac:dyDescent="0.3">
      <c r="A7" s="25" t="s">
        <v>34</v>
      </c>
      <c r="B7" s="26">
        <f>'Site2 Overview'!B12</f>
        <v>80000</v>
      </c>
      <c r="C7" s="27"/>
      <c r="D7" s="27"/>
      <c r="E7" s="27"/>
      <c r="F7" s="27"/>
      <c r="G7" s="27"/>
      <c r="H7" s="27"/>
      <c r="I7" s="27"/>
      <c r="J7" s="27"/>
      <c r="K7" s="27"/>
      <c r="L7" s="27"/>
      <c r="M7" s="27"/>
      <c r="N7" s="27"/>
      <c r="O7" s="27"/>
    </row>
    <row r="8" spans="1:15" ht="16.5" thickBot="1" x14ac:dyDescent="0.3">
      <c r="A8" s="28" t="s">
        <v>37</v>
      </c>
      <c r="B8" s="29">
        <f>'Site2 Overview'!B13</f>
        <v>30000</v>
      </c>
      <c r="C8" s="27"/>
      <c r="D8" s="27"/>
      <c r="G8" s="27"/>
      <c r="H8" s="27"/>
      <c r="I8" s="27"/>
      <c r="J8" s="27"/>
      <c r="K8" s="27"/>
      <c r="L8" s="27"/>
      <c r="M8" s="27"/>
      <c r="N8" s="27"/>
      <c r="O8" s="27"/>
    </row>
    <row r="9" spans="1:15" ht="16.5" thickBot="1" x14ac:dyDescent="0.3">
      <c r="A9" s="30" t="s">
        <v>63</v>
      </c>
      <c r="B9" s="31">
        <f>'Site2 Overview'!B15</f>
        <v>10000</v>
      </c>
      <c r="C9" s="56" t="s">
        <v>35</v>
      </c>
      <c r="D9" s="56" t="s">
        <v>23</v>
      </c>
      <c r="E9" s="27"/>
      <c r="F9" s="27"/>
      <c r="G9" s="27"/>
      <c r="H9" s="27"/>
      <c r="I9" s="27"/>
      <c r="J9" s="27"/>
      <c r="K9" s="27"/>
      <c r="L9" s="27"/>
      <c r="M9" s="27"/>
      <c r="N9" s="27"/>
      <c r="O9" s="27"/>
    </row>
    <row r="10" spans="1:15" ht="16.5" thickBot="1" x14ac:dyDescent="0.3">
      <c r="A10" s="30" t="s">
        <v>19</v>
      </c>
      <c r="B10" s="31">
        <v>460</v>
      </c>
      <c r="C10" s="156">
        <v>104</v>
      </c>
      <c r="D10" s="156">
        <v>3250</v>
      </c>
      <c r="E10" s="27"/>
      <c r="F10" s="27"/>
      <c r="G10" s="27"/>
      <c r="H10" s="27"/>
      <c r="I10" s="27"/>
      <c r="J10" s="27"/>
      <c r="K10" s="27"/>
      <c r="L10" s="27"/>
      <c r="M10" s="27"/>
      <c r="N10" s="27"/>
      <c r="O10" s="27"/>
    </row>
    <row r="11" spans="1:15" ht="16.5" thickBot="1" x14ac:dyDescent="0.3">
      <c r="A11" s="27"/>
      <c r="B11" s="166">
        <v>45717</v>
      </c>
      <c r="C11" s="166">
        <v>45748</v>
      </c>
      <c r="D11" s="166">
        <v>45778</v>
      </c>
      <c r="E11" s="166">
        <v>45809</v>
      </c>
      <c r="F11" s="166">
        <v>45839</v>
      </c>
      <c r="G11" s="166">
        <v>45870</v>
      </c>
      <c r="H11" s="166">
        <v>45901</v>
      </c>
      <c r="I11" s="166">
        <v>45931</v>
      </c>
      <c r="J11" s="166">
        <v>45962</v>
      </c>
      <c r="K11" s="166">
        <v>45992</v>
      </c>
      <c r="L11" s="166">
        <v>46023</v>
      </c>
      <c r="M11" s="166">
        <v>46054</v>
      </c>
      <c r="N11" s="166">
        <v>46082</v>
      </c>
      <c r="O11" s="27"/>
    </row>
    <row r="12" spans="1:15" ht="16.5" thickBot="1" x14ac:dyDescent="0.3">
      <c r="A12" s="52" t="s">
        <v>64</v>
      </c>
      <c r="B12" s="32" t="s">
        <v>41</v>
      </c>
      <c r="C12" s="32" t="s">
        <v>42</v>
      </c>
      <c r="D12" s="32" t="s">
        <v>43</v>
      </c>
      <c r="E12" s="32" t="s">
        <v>44</v>
      </c>
      <c r="F12" s="32" t="s">
        <v>65</v>
      </c>
      <c r="G12" s="32" t="s">
        <v>66</v>
      </c>
      <c r="H12" s="32" t="s">
        <v>67</v>
      </c>
      <c r="I12" s="32" t="s">
        <v>68</v>
      </c>
      <c r="J12" s="32" t="s">
        <v>69</v>
      </c>
      <c r="K12" s="32" t="s">
        <v>70</v>
      </c>
      <c r="L12" s="32" t="s">
        <v>71</v>
      </c>
      <c r="M12" s="32" t="s">
        <v>72</v>
      </c>
      <c r="N12" s="32" t="s">
        <v>73</v>
      </c>
      <c r="O12" s="151" t="s">
        <v>74</v>
      </c>
    </row>
    <row r="13" spans="1:15" ht="16.5" thickBot="1" x14ac:dyDescent="0.3">
      <c r="A13" s="51" t="s">
        <v>75</v>
      </c>
      <c r="B13" s="33">
        <v>1</v>
      </c>
      <c r="C13" s="33"/>
      <c r="D13" s="33"/>
      <c r="E13" s="33">
        <v>3</v>
      </c>
      <c r="F13" s="33"/>
      <c r="G13" s="33"/>
      <c r="H13" s="33"/>
      <c r="I13" s="33"/>
      <c r="J13" s="33"/>
      <c r="K13" s="33"/>
      <c r="L13" s="33"/>
      <c r="M13" s="33"/>
      <c r="N13" s="33"/>
      <c r="O13" s="152"/>
    </row>
    <row r="14" spans="1:15" ht="16.5" thickBot="1" x14ac:dyDescent="0.3">
      <c r="A14" s="51" t="s">
        <v>76</v>
      </c>
      <c r="B14" s="33">
        <v>360</v>
      </c>
      <c r="C14" s="33"/>
      <c r="D14" s="33"/>
      <c r="E14" s="33">
        <v>1080</v>
      </c>
      <c r="F14" s="33"/>
      <c r="G14" s="33"/>
      <c r="H14" s="33"/>
      <c r="I14" s="33"/>
      <c r="J14" s="33"/>
      <c r="K14" s="33"/>
      <c r="L14" s="33"/>
      <c r="M14" s="33"/>
      <c r="N14" s="33"/>
      <c r="O14" s="152"/>
    </row>
    <row r="15" spans="1:15" ht="16.5" thickBot="1" x14ac:dyDescent="0.3">
      <c r="A15" s="53" t="s">
        <v>77</v>
      </c>
      <c r="B15" s="33">
        <v>1</v>
      </c>
      <c r="C15" s="33"/>
      <c r="D15" s="33"/>
      <c r="E15" s="33">
        <v>3</v>
      </c>
      <c r="F15" s="33"/>
      <c r="G15" s="33"/>
      <c r="H15" s="33"/>
      <c r="I15" s="33"/>
      <c r="J15" s="33"/>
      <c r="K15" s="33"/>
      <c r="L15" s="33"/>
      <c r="M15" s="33"/>
      <c r="N15" s="33"/>
      <c r="O15" s="152"/>
    </row>
    <row r="16" spans="1:15" ht="16.5" thickBot="1" x14ac:dyDescent="0.3">
      <c r="A16" s="52" t="s">
        <v>78</v>
      </c>
      <c r="B16" s="32" t="s">
        <v>41</v>
      </c>
      <c r="C16" s="32" t="s">
        <v>42</v>
      </c>
      <c r="D16" s="32" t="s">
        <v>43</v>
      </c>
      <c r="E16" s="32" t="s">
        <v>44</v>
      </c>
      <c r="F16" s="32" t="s">
        <v>65</v>
      </c>
      <c r="G16" s="32" t="s">
        <v>66</v>
      </c>
      <c r="H16" s="32" t="s">
        <v>67</v>
      </c>
      <c r="I16" s="32" t="s">
        <v>68</v>
      </c>
      <c r="J16" s="32" t="s">
        <v>69</v>
      </c>
      <c r="K16" s="32" t="s">
        <v>70</v>
      </c>
      <c r="L16" s="32" t="s">
        <v>71</v>
      </c>
      <c r="M16" s="32" t="s">
        <v>72</v>
      </c>
      <c r="N16" s="32" t="s">
        <v>73</v>
      </c>
      <c r="O16" s="153"/>
    </row>
    <row r="17" spans="1:15" ht="16.5" thickBot="1" x14ac:dyDescent="0.3">
      <c r="A17" s="28" t="s">
        <v>79</v>
      </c>
      <c r="B17" s="33">
        <f>B13</f>
        <v>1</v>
      </c>
      <c r="C17" s="33">
        <f t="shared" ref="C17:D19" si="0">B17+C13</f>
        <v>1</v>
      </c>
      <c r="D17" s="33">
        <f t="shared" si="0"/>
        <v>1</v>
      </c>
      <c r="E17" s="33">
        <f>E13</f>
        <v>3</v>
      </c>
      <c r="F17" s="33">
        <f t="shared" ref="F17:N17" si="1">E17+F13</f>
        <v>3</v>
      </c>
      <c r="G17" s="33">
        <f t="shared" si="1"/>
        <v>3</v>
      </c>
      <c r="H17" s="33">
        <f t="shared" si="1"/>
        <v>3</v>
      </c>
      <c r="I17" s="33">
        <f t="shared" si="1"/>
        <v>3</v>
      </c>
      <c r="J17" s="33">
        <f t="shared" si="1"/>
        <v>3</v>
      </c>
      <c r="K17" s="33">
        <f t="shared" si="1"/>
        <v>3</v>
      </c>
      <c r="L17" s="33">
        <f t="shared" si="1"/>
        <v>3</v>
      </c>
      <c r="M17" s="33">
        <f t="shared" si="1"/>
        <v>3</v>
      </c>
      <c r="N17" s="33">
        <f t="shared" si="1"/>
        <v>3</v>
      </c>
      <c r="O17" s="152"/>
    </row>
    <row r="18" spans="1:15" ht="16.5" thickBot="1" x14ac:dyDescent="0.3">
      <c r="A18" s="30" t="s">
        <v>80</v>
      </c>
      <c r="B18" s="113">
        <f>B14</f>
        <v>360</v>
      </c>
      <c r="C18" s="113">
        <f t="shared" si="0"/>
        <v>360</v>
      </c>
      <c r="D18" s="113">
        <f t="shared" si="0"/>
        <v>360</v>
      </c>
      <c r="E18" s="113">
        <f>E14</f>
        <v>1080</v>
      </c>
      <c r="F18" s="113">
        <v>924</v>
      </c>
      <c r="G18" s="113">
        <f t="shared" ref="G18:N19" si="2">F18+G14</f>
        <v>924</v>
      </c>
      <c r="H18" s="113">
        <f t="shared" si="2"/>
        <v>924</v>
      </c>
      <c r="I18" s="113">
        <f t="shared" si="2"/>
        <v>924</v>
      </c>
      <c r="J18" s="113">
        <f t="shared" si="2"/>
        <v>924</v>
      </c>
      <c r="K18" s="113">
        <f t="shared" si="2"/>
        <v>924</v>
      </c>
      <c r="L18" s="113">
        <f t="shared" si="2"/>
        <v>924</v>
      </c>
      <c r="M18" s="113">
        <f t="shared" si="2"/>
        <v>924</v>
      </c>
      <c r="N18" s="113">
        <f t="shared" si="2"/>
        <v>924</v>
      </c>
      <c r="O18" s="152"/>
    </row>
    <row r="19" spans="1:15" ht="16.5" thickBot="1" x14ac:dyDescent="0.3">
      <c r="A19" s="28" t="s">
        <v>52</v>
      </c>
      <c r="B19" s="33">
        <f>B15</f>
        <v>1</v>
      </c>
      <c r="C19" s="33">
        <f t="shared" si="0"/>
        <v>1</v>
      </c>
      <c r="D19" s="33">
        <f t="shared" si="0"/>
        <v>1</v>
      </c>
      <c r="E19" s="33">
        <f>E15</f>
        <v>3</v>
      </c>
      <c r="F19" s="33">
        <f>E19+F15</f>
        <v>3</v>
      </c>
      <c r="G19" s="33">
        <f t="shared" si="2"/>
        <v>3</v>
      </c>
      <c r="H19" s="33">
        <f t="shared" si="2"/>
        <v>3</v>
      </c>
      <c r="I19" s="33">
        <f t="shared" si="2"/>
        <v>3</v>
      </c>
      <c r="J19" s="33">
        <f t="shared" si="2"/>
        <v>3</v>
      </c>
      <c r="K19" s="33">
        <f t="shared" si="2"/>
        <v>3</v>
      </c>
      <c r="L19" s="33">
        <f t="shared" si="2"/>
        <v>3</v>
      </c>
      <c r="M19" s="33">
        <f t="shared" si="2"/>
        <v>3</v>
      </c>
      <c r="N19" s="33">
        <f t="shared" si="2"/>
        <v>3</v>
      </c>
      <c r="O19" s="152"/>
    </row>
    <row r="20" spans="1:15" ht="16.5" thickBot="1" x14ac:dyDescent="0.3">
      <c r="A20" s="30" t="s">
        <v>81</v>
      </c>
      <c r="B20" s="40">
        <f t="shared" ref="B20:N20" si="3">B18*$D$10/1000/1000</f>
        <v>1.17</v>
      </c>
      <c r="C20" s="40">
        <f t="shared" si="3"/>
        <v>1.17</v>
      </c>
      <c r="D20" s="40">
        <f t="shared" si="3"/>
        <v>1.17</v>
      </c>
      <c r="E20" s="40">
        <f t="shared" si="3"/>
        <v>3.51</v>
      </c>
      <c r="F20" s="40">
        <f t="shared" si="3"/>
        <v>3.0030000000000001</v>
      </c>
      <c r="G20" s="40">
        <f t="shared" si="3"/>
        <v>3.0030000000000001</v>
      </c>
      <c r="H20" s="40">
        <f t="shared" si="3"/>
        <v>3.0030000000000001</v>
      </c>
      <c r="I20" s="40">
        <f t="shared" si="3"/>
        <v>3.0030000000000001</v>
      </c>
      <c r="J20" s="40">
        <f t="shared" si="3"/>
        <v>3.0030000000000001</v>
      </c>
      <c r="K20" s="40">
        <f t="shared" si="3"/>
        <v>3.0030000000000001</v>
      </c>
      <c r="L20" s="40">
        <f t="shared" si="3"/>
        <v>3.0030000000000001</v>
      </c>
      <c r="M20" s="40">
        <f t="shared" si="3"/>
        <v>3.0030000000000001</v>
      </c>
      <c r="N20" s="40">
        <f t="shared" si="3"/>
        <v>3.0030000000000001</v>
      </c>
      <c r="O20" s="154"/>
    </row>
    <row r="21" spans="1:15" ht="16.5" thickBot="1" x14ac:dyDescent="0.3">
      <c r="A21" s="30" t="s">
        <v>82</v>
      </c>
      <c r="B21" s="112">
        <f>B18*$C$10/1000</f>
        <v>37.44</v>
      </c>
      <c r="C21" s="112">
        <f>C18*$C$10/1000</f>
        <v>37.44</v>
      </c>
      <c r="D21" s="112">
        <f>D18*$C$10/1000</f>
        <v>37.44</v>
      </c>
      <c r="E21" s="112">
        <f>E18*$C$10/1000</f>
        <v>112.32</v>
      </c>
      <c r="F21" s="112">
        <f>((F18)*$C$10/1000)</f>
        <v>96.096000000000004</v>
      </c>
      <c r="G21" s="112">
        <f t="shared" ref="G21:N21" si="4">((G18)*$C$10/1000)</f>
        <v>96.096000000000004</v>
      </c>
      <c r="H21" s="112">
        <f t="shared" si="4"/>
        <v>96.096000000000004</v>
      </c>
      <c r="I21" s="112">
        <f t="shared" si="4"/>
        <v>96.096000000000004</v>
      </c>
      <c r="J21" s="112">
        <f t="shared" si="4"/>
        <v>96.096000000000004</v>
      </c>
      <c r="K21" s="112">
        <f t="shared" si="4"/>
        <v>96.096000000000004</v>
      </c>
      <c r="L21" s="112">
        <f t="shared" si="4"/>
        <v>96.096000000000004</v>
      </c>
      <c r="M21" s="112">
        <f t="shared" si="4"/>
        <v>96.096000000000004</v>
      </c>
      <c r="N21" s="112">
        <f t="shared" si="4"/>
        <v>96.096000000000004</v>
      </c>
      <c r="O21" s="152"/>
    </row>
    <row r="22" spans="1:15" ht="16.5" thickBot="1" x14ac:dyDescent="0.3">
      <c r="A22" s="30" t="s">
        <v>130</v>
      </c>
      <c r="B22" s="112">
        <f t="shared" ref="B22:N22" si="5">B18*$C$10/1000</f>
        <v>37.44</v>
      </c>
      <c r="C22" s="112">
        <f t="shared" si="5"/>
        <v>37.44</v>
      </c>
      <c r="D22" s="112">
        <f t="shared" si="5"/>
        <v>37.44</v>
      </c>
      <c r="E22" s="112">
        <f t="shared" si="5"/>
        <v>112.32</v>
      </c>
      <c r="F22" s="112">
        <f t="shared" si="5"/>
        <v>96.096000000000004</v>
      </c>
      <c r="G22" s="112">
        <f t="shared" si="5"/>
        <v>96.096000000000004</v>
      </c>
      <c r="H22" s="112">
        <f t="shared" si="5"/>
        <v>96.096000000000004</v>
      </c>
      <c r="I22" s="112">
        <f t="shared" si="5"/>
        <v>96.096000000000004</v>
      </c>
      <c r="J22" s="112">
        <f t="shared" si="5"/>
        <v>96.096000000000004</v>
      </c>
      <c r="K22" s="112">
        <f t="shared" si="5"/>
        <v>96.096000000000004</v>
      </c>
      <c r="L22" s="112">
        <f t="shared" si="5"/>
        <v>96.096000000000004</v>
      </c>
      <c r="M22" s="112">
        <f t="shared" si="5"/>
        <v>96.096000000000004</v>
      </c>
      <c r="N22" s="112">
        <f t="shared" si="5"/>
        <v>96.096000000000004</v>
      </c>
      <c r="O22" s="155"/>
    </row>
    <row r="23" spans="1:15" ht="16.5" thickBot="1" x14ac:dyDescent="0.3">
      <c r="A23" s="27"/>
      <c r="B23" s="27"/>
      <c r="C23" s="27"/>
      <c r="D23" s="27"/>
      <c r="E23" s="27"/>
      <c r="F23" s="27"/>
      <c r="G23" s="27"/>
      <c r="H23" s="27"/>
      <c r="I23" s="27"/>
      <c r="J23" s="27"/>
      <c r="K23" s="27"/>
      <c r="L23" s="27"/>
      <c r="M23" s="27"/>
      <c r="N23" s="27"/>
      <c r="O23" s="27"/>
    </row>
    <row r="24" spans="1:15" ht="15.75" x14ac:dyDescent="0.25">
      <c r="A24" s="34" t="s">
        <v>40</v>
      </c>
      <c r="B24" s="35" t="s">
        <v>41</v>
      </c>
      <c r="C24" s="35" t="s">
        <v>42</v>
      </c>
      <c r="D24" s="36" t="s">
        <v>43</v>
      </c>
      <c r="E24" s="35" t="s">
        <v>44</v>
      </c>
      <c r="F24" s="36" t="s">
        <v>65</v>
      </c>
      <c r="G24" s="35" t="s">
        <v>66</v>
      </c>
      <c r="H24" s="36" t="s">
        <v>67</v>
      </c>
      <c r="I24" s="35" t="s">
        <v>68</v>
      </c>
      <c r="J24" s="36" t="s">
        <v>69</v>
      </c>
      <c r="K24" s="35" t="s">
        <v>70</v>
      </c>
      <c r="L24" s="36" t="s">
        <v>71</v>
      </c>
      <c r="M24" s="36" t="s">
        <v>72</v>
      </c>
      <c r="N24" s="36" t="s">
        <v>73</v>
      </c>
      <c r="O24" s="36"/>
    </row>
    <row r="25" spans="1:15" ht="15.75" x14ac:dyDescent="0.25">
      <c r="A25" s="37" t="s">
        <v>18</v>
      </c>
      <c r="B25" s="18"/>
      <c r="C25" s="18"/>
      <c r="D25" s="19"/>
      <c r="E25" s="18"/>
      <c r="F25" s="19"/>
      <c r="G25" s="18"/>
      <c r="H25" s="19"/>
      <c r="I25" s="18"/>
      <c r="J25" s="19"/>
      <c r="K25" s="18"/>
      <c r="L25" s="19"/>
      <c r="M25" s="19"/>
      <c r="N25" s="19"/>
      <c r="O25" s="19"/>
    </row>
    <row r="26" spans="1:15" ht="15.75" x14ac:dyDescent="0.25">
      <c r="A26" s="38" t="s">
        <v>51</v>
      </c>
      <c r="B26" s="20"/>
      <c r="C26" s="20"/>
      <c r="D26" s="21"/>
      <c r="E26" s="20"/>
      <c r="F26" s="22"/>
      <c r="G26" s="20"/>
      <c r="H26" s="22"/>
      <c r="I26" s="20"/>
      <c r="J26" s="22"/>
      <c r="K26" s="20"/>
      <c r="L26" s="20"/>
      <c r="M26" s="20"/>
      <c r="N26" s="20"/>
      <c r="O26" s="20"/>
    </row>
    <row r="27" spans="1:15" ht="15.75" x14ac:dyDescent="0.25">
      <c r="A27" s="9" t="s">
        <v>20</v>
      </c>
      <c r="B27" s="17">
        <f t="shared" ref="B27:N27" si="6">B13*$B$7</f>
        <v>80000</v>
      </c>
      <c r="C27" s="17">
        <f t="shared" si="6"/>
        <v>0</v>
      </c>
      <c r="D27" s="17">
        <f t="shared" si="6"/>
        <v>0</v>
      </c>
      <c r="E27" s="17">
        <f t="shared" si="6"/>
        <v>240000</v>
      </c>
      <c r="F27" s="17">
        <f t="shared" si="6"/>
        <v>0</v>
      </c>
      <c r="G27" s="17">
        <f t="shared" si="6"/>
        <v>0</v>
      </c>
      <c r="H27" s="17">
        <f t="shared" si="6"/>
        <v>0</v>
      </c>
      <c r="I27" s="17">
        <f t="shared" si="6"/>
        <v>0</v>
      </c>
      <c r="J27" s="17">
        <f t="shared" si="6"/>
        <v>0</v>
      </c>
      <c r="K27" s="17">
        <f t="shared" si="6"/>
        <v>0</v>
      </c>
      <c r="L27" s="17">
        <f t="shared" si="6"/>
        <v>0</v>
      </c>
      <c r="M27" s="17">
        <f t="shared" si="6"/>
        <v>0</v>
      </c>
      <c r="N27" s="17">
        <f t="shared" si="6"/>
        <v>0</v>
      </c>
      <c r="O27" s="17">
        <f>SUM(B27:N27)</f>
        <v>320000</v>
      </c>
    </row>
    <row r="28" spans="1:15" ht="15.75" x14ac:dyDescent="0.25">
      <c r="A28" s="9" t="s">
        <v>19</v>
      </c>
      <c r="B28" s="59">
        <f t="shared" ref="B28:N28" si="7">B14*$B$10</f>
        <v>165600</v>
      </c>
      <c r="C28" s="23">
        <f t="shared" si="7"/>
        <v>0</v>
      </c>
      <c r="D28" s="23">
        <f t="shared" si="7"/>
        <v>0</v>
      </c>
      <c r="E28" s="23">
        <f t="shared" si="7"/>
        <v>496800</v>
      </c>
      <c r="F28" s="59">
        <f t="shared" si="7"/>
        <v>0</v>
      </c>
      <c r="G28" s="23">
        <f t="shared" si="7"/>
        <v>0</v>
      </c>
      <c r="H28" s="61">
        <f t="shared" si="7"/>
        <v>0</v>
      </c>
      <c r="I28" s="23">
        <f t="shared" si="7"/>
        <v>0</v>
      </c>
      <c r="J28" s="23">
        <f t="shared" si="7"/>
        <v>0</v>
      </c>
      <c r="K28" s="23">
        <f t="shared" si="7"/>
        <v>0</v>
      </c>
      <c r="L28" s="23">
        <f t="shared" si="7"/>
        <v>0</v>
      </c>
      <c r="M28" s="23">
        <f t="shared" si="7"/>
        <v>0</v>
      </c>
      <c r="N28" s="23">
        <f t="shared" si="7"/>
        <v>0</v>
      </c>
      <c r="O28" s="17">
        <f t="shared" ref="O28:O32" si="8">SUM(B28:N28)</f>
        <v>662400</v>
      </c>
    </row>
    <row r="29" spans="1:15" ht="15.75" x14ac:dyDescent="0.25">
      <c r="A29" s="9" t="s">
        <v>52</v>
      </c>
      <c r="B29" s="17">
        <f t="shared" ref="B29:N29" si="9">$B$8*B15</f>
        <v>30000</v>
      </c>
      <c r="C29" s="17">
        <f t="shared" si="9"/>
        <v>0</v>
      </c>
      <c r="D29" s="17">
        <f t="shared" si="9"/>
        <v>0</v>
      </c>
      <c r="E29" s="17">
        <f t="shared" si="9"/>
        <v>90000</v>
      </c>
      <c r="F29" s="17">
        <f t="shared" si="9"/>
        <v>0</v>
      </c>
      <c r="G29" s="17">
        <f t="shared" si="9"/>
        <v>0</v>
      </c>
      <c r="H29" s="17">
        <f t="shared" si="9"/>
        <v>0</v>
      </c>
      <c r="I29" s="17">
        <f t="shared" si="9"/>
        <v>0</v>
      </c>
      <c r="J29" s="17">
        <f t="shared" si="9"/>
        <v>0</v>
      </c>
      <c r="K29" s="17">
        <f t="shared" si="9"/>
        <v>0</v>
      </c>
      <c r="L29" s="17">
        <f t="shared" si="9"/>
        <v>0</v>
      </c>
      <c r="M29" s="17">
        <f t="shared" si="9"/>
        <v>0</v>
      </c>
      <c r="N29" s="17">
        <f t="shared" si="9"/>
        <v>0</v>
      </c>
      <c r="O29" s="17">
        <f t="shared" si="8"/>
        <v>120000</v>
      </c>
    </row>
    <row r="30" spans="1:15" ht="15.75" x14ac:dyDescent="0.25">
      <c r="A30" s="9" t="s">
        <v>21</v>
      </c>
      <c r="B30" s="17">
        <f>($B$9+6600)*B13</f>
        <v>16600</v>
      </c>
      <c r="C30" s="17">
        <f>($B$9+6600)*C13</f>
        <v>0</v>
      </c>
      <c r="D30" s="17">
        <f>($B$9+6600)*D13</f>
        <v>0</v>
      </c>
      <c r="E30" s="17">
        <v>20000</v>
      </c>
      <c r="F30" s="17">
        <f t="shared" ref="F30:N30" si="10">($B$9+6600)*F13</f>
        <v>0</v>
      </c>
      <c r="G30" s="17">
        <f t="shared" si="10"/>
        <v>0</v>
      </c>
      <c r="H30" s="17">
        <f t="shared" si="10"/>
        <v>0</v>
      </c>
      <c r="I30" s="17">
        <f t="shared" si="10"/>
        <v>0</v>
      </c>
      <c r="J30" s="17">
        <f t="shared" si="10"/>
        <v>0</v>
      </c>
      <c r="K30" s="17">
        <f t="shared" si="10"/>
        <v>0</v>
      </c>
      <c r="L30" s="17">
        <f t="shared" si="10"/>
        <v>0</v>
      </c>
      <c r="M30" s="17">
        <f t="shared" si="10"/>
        <v>0</v>
      </c>
      <c r="N30" s="17">
        <f t="shared" si="10"/>
        <v>0</v>
      </c>
      <c r="O30" s="17">
        <f t="shared" si="8"/>
        <v>36600</v>
      </c>
    </row>
    <row r="31" spans="1:15" ht="15.75" x14ac:dyDescent="0.25">
      <c r="A31" s="9" t="s">
        <v>53</v>
      </c>
      <c r="B31" s="23">
        <v>10000</v>
      </c>
      <c r="C31" s="23">
        <v>0</v>
      </c>
      <c r="D31" s="139">
        <v>0</v>
      </c>
      <c r="E31" s="23">
        <v>0</v>
      </c>
      <c r="F31" s="23">
        <v>0</v>
      </c>
      <c r="G31" s="17">
        <v>0</v>
      </c>
      <c r="H31" s="16">
        <v>0</v>
      </c>
      <c r="I31" s="17">
        <v>0</v>
      </c>
      <c r="J31" s="23"/>
      <c r="K31" s="17">
        <v>0</v>
      </c>
      <c r="L31" s="17">
        <v>0</v>
      </c>
      <c r="M31" s="17">
        <v>0</v>
      </c>
      <c r="N31" s="17">
        <v>0</v>
      </c>
      <c r="O31" s="17">
        <f t="shared" si="8"/>
        <v>10000</v>
      </c>
    </row>
    <row r="32" spans="1:15" ht="15.75" x14ac:dyDescent="0.25">
      <c r="A32" s="9" t="s">
        <v>84</v>
      </c>
      <c r="B32" s="23">
        <v>8000</v>
      </c>
      <c r="C32" s="23">
        <v>0</v>
      </c>
      <c r="D32" s="139">
        <v>0</v>
      </c>
      <c r="E32" s="23">
        <v>0</v>
      </c>
      <c r="F32" s="23">
        <v>0</v>
      </c>
      <c r="G32" s="23">
        <v>0</v>
      </c>
      <c r="H32" s="23">
        <v>0</v>
      </c>
      <c r="I32" s="23">
        <v>0</v>
      </c>
      <c r="J32" s="23">
        <v>0</v>
      </c>
      <c r="K32" s="23">
        <v>0</v>
      </c>
      <c r="L32" s="23">
        <v>0</v>
      </c>
      <c r="M32" s="23">
        <v>0</v>
      </c>
      <c r="N32" s="23">
        <v>0</v>
      </c>
      <c r="O32" s="17">
        <f t="shared" si="8"/>
        <v>8000</v>
      </c>
    </row>
    <row r="33" spans="1:15" ht="15.75" x14ac:dyDescent="0.25">
      <c r="A33" s="9" t="s">
        <v>131</v>
      </c>
      <c r="B33" s="23">
        <v>30000</v>
      </c>
      <c r="C33" s="23"/>
      <c r="D33" s="139"/>
      <c r="E33" s="23">
        <v>30000</v>
      </c>
      <c r="F33" s="23"/>
      <c r="G33" s="23"/>
      <c r="H33" s="23">
        <v>30000</v>
      </c>
      <c r="I33" s="23"/>
      <c r="J33" s="23"/>
      <c r="K33" s="23"/>
      <c r="L33" s="23"/>
      <c r="M33" s="23"/>
      <c r="N33" s="23"/>
      <c r="O33" s="17"/>
    </row>
    <row r="34" spans="1:15" ht="15.75" x14ac:dyDescent="0.25">
      <c r="A34" s="9" t="s">
        <v>85</v>
      </c>
      <c r="B34" s="23">
        <v>50000</v>
      </c>
      <c r="C34" s="23"/>
      <c r="D34" s="139"/>
      <c r="E34" s="23">
        <v>75000</v>
      </c>
      <c r="F34" s="23"/>
      <c r="G34" s="23">
        <v>30000</v>
      </c>
      <c r="H34" s="23"/>
      <c r="I34" s="23"/>
      <c r="J34" s="23"/>
      <c r="K34" s="23"/>
      <c r="L34" s="23"/>
      <c r="M34" s="23"/>
      <c r="N34" s="23"/>
      <c r="O34" s="17"/>
    </row>
    <row r="35" spans="1:15" ht="15.75" x14ac:dyDescent="0.25">
      <c r="A35" s="9" t="s">
        <v>132</v>
      </c>
      <c r="B35" s="23">
        <f>E47*2</f>
        <v>67931.135999999999</v>
      </c>
      <c r="C35" s="23"/>
      <c r="D35" s="139"/>
      <c r="E35" s="23"/>
      <c r="F35" s="23"/>
      <c r="G35" s="23"/>
      <c r="H35" s="23"/>
      <c r="I35" s="23"/>
      <c r="J35" s="23"/>
      <c r="K35" s="23"/>
      <c r="L35" s="23"/>
      <c r="M35" s="23"/>
      <c r="N35" s="23"/>
      <c r="O35" s="17"/>
    </row>
    <row r="36" spans="1:15" ht="15.75" x14ac:dyDescent="0.25">
      <c r="A36" s="39" t="s">
        <v>57</v>
      </c>
      <c r="B36" s="24">
        <f>SUM(B27:B35)</f>
        <v>458131.136</v>
      </c>
      <c r="C36" s="24">
        <f>SUM(C27:C32)</f>
        <v>0</v>
      </c>
      <c r="D36" s="24">
        <f>SUM(D27:D32)</f>
        <v>0</v>
      </c>
      <c r="E36" s="24">
        <f>SUM(E27:E34)</f>
        <v>951800</v>
      </c>
      <c r="F36" s="24">
        <f>SUM(F27:F32)</f>
        <v>0</v>
      </c>
      <c r="G36" s="24">
        <f>SUM(G27:G34)</f>
        <v>30000</v>
      </c>
      <c r="H36" s="24">
        <f>SUM(H27:H33)</f>
        <v>30000</v>
      </c>
      <c r="I36" s="24">
        <f t="shared" ref="I36:O36" si="11">SUM(I27:I32)</f>
        <v>0</v>
      </c>
      <c r="J36" s="24">
        <f t="shared" si="11"/>
        <v>0</v>
      </c>
      <c r="K36" s="24">
        <f t="shared" si="11"/>
        <v>0</v>
      </c>
      <c r="L36" s="24">
        <f t="shared" si="11"/>
        <v>0</v>
      </c>
      <c r="M36" s="24">
        <f t="shared" si="11"/>
        <v>0</v>
      </c>
      <c r="N36" s="24">
        <f t="shared" si="11"/>
        <v>0</v>
      </c>
      <c r="O36" s="24">
        <f t="shared" si="11"/>
        <v>1157000</v>
      </c>
    </row>
    <row r="37" spans="1:15" ht="16.5" thickBot="1" x14ac:dyDescent="0.3">
      <c r="A37" s="10"/>
      <c r="B37" s="17"/>
      <c r="C37" s="17"/>
      <c r="D37" s="16"/>
      <c r="E37" s="17"/>
      <c r="F37" s="8"/>
      <c r="G37" s="17"/>
      <c r="H37" s="8"/>
      <c r="I37" s="17"/>
      <c r="J37" s="8"/>
      <c r="K37" s="17"/>
      <c r="L37" s="8"/>
      <c r="M37" s="8"/>
      <c r="N37" s="8"/>
      <c r="O37" s="8"/>
    </row>
    <row r="38" spans="1:15" ht="16.5" thickBot="1" x14ac:dyDescent="0.3">
      <c r="A38" s="62" t="s">
        <v>58</v>
      </c>
      <c r="B38" s="63"/>
      <c r="C38" s="63"/>
      <c r="D38" s="63"/>
      <c r="E38" s="63"/>
      <c r="F38" s="63"/>
      <c r="G38" s="63"/>
      <c r="H38" s="63"/>
      <c r="I38" s="63"/>
      <c r="J38" s="63"/>
      <c r="K38" s="63"/>
      <c r="L38" s="63"/>
      <c r="M38" s="63"/>
      <c r="N38" s="63"/>
      <c r="O38" s="63"/>
    </row>
    <row r="39" spans="1:15" ht="15.75" x14ac:dyDescent="0.25">
      <c r="A39" s="67" t="s">
        <v>59</v>
      </c>
      <c r="B39" s="64"/>
      <c r="C39" s="64"/>
      <c r="D39" s="64"/>
      <c r="E39" s="64"/>
      <c r="F39" s="64"/>
      <c r="G39" s="64"/>
      <c r="H39" s="64" t="e">
        <f>#REF!</f>
        <v>#REF!</v>
      </c>
      <c r="I39" s="64" t="e">
        <f>#REF!</f>
        <v>#REF!</v>
      </c>
      <c r="J39" s="64" t="e">
        <f>#REF!</f>
        <v>#REF!</v>
      </c>
      <c r="K39" s="64" t="e">
        <f>#REF!</f>
        <v>#REF!</v>
      </c>
      <c r="L39" s="64" t="e">
        <f>#REF!</f>
        <v>#REF!</v>
      </c>
      <c r="M39" s="64" t="e">
        <f>#REF!</f>
        <v>#REF!</v>
      </c>
      <c r="N39" s="64" t="e">
        <f>#REF!</f>
        <v>#REF!</v>
      </c>
      <c r="O39" s="17" t="e">
        <f>SUM(B39:N39)</f>
        <v>#REF!</v>
      </c>
    </row>
    <row r="40" spans="1:15" ht="16.5" thickBot="1" x14ac:dyDescent="0.3">
      <c r="A40" s="68" t="s">
        <v>60</v>
      </c>
      <c r="B40" s="60">
        <f t="shared" ref="B40:N40" si="12">SUM(B39:B39)</f>
        <v>0</v>
      </c>
      <c r="C40" s="60">
        <f t="shared" si="12"/>
        <v>0</v>
      </c>
      <c r="D40" s="69">
        <f t="shared" si="12"/>
        <v>0</v>
      </c>
      <c r="E40" s="60">
        <f t="shared" si="12"/>
        <v>0</v>
      </c>
      <c r="F40" s="69">
        <f t="shared" si="12"/>
        <v>0</v>
      </c>
      <c r="G40" s="60">
        <f t="shared" si="12"/>
        <v>0</v>
      </c>
      <c r="H40" s="69" t="e">
        <f t="shared" si="12"/>
        <v>#REF!</v>
      </c>
      <c r="I40" s="60" t="e">
        <f t="shared" si="12"/>
        <v>#REF!</v>
      </c>
      <c r="J40" s="69" t="e">
        <f t="shared" si="12"/>
        <v>#REF!</v>
      </c>
      <c r="K40" s="60" t="e">
        <f t="shared" si="12"/>
        <v>#REF!</v>
      </c>
      <c r="L40" s="69" t="e">
        <f t="shared" si="12"/>
        <v>#REF!</v>
      </c>
      <c r="M40" s="69" t="e">
        <f t="shared" si="12"/>
        <v>#REF!</v>
      </c>
      <c r="N40" s="70" t="e">
        <f t="shared" si="12"/>
        <v>#REF!</v>
      </c>
      <c r="O40" s="17" t="e">
        <f>SUM(#REF!)</f>
        <v>#REF!</v>
      </c>
    </row>
    <row r="41" spans="1:15" ht="16.5" thickBot="1" x14ac:dyDescent="0.3">
      <c r="A41" s="46" t="s">
        <v>46</v>
      </c>
      <c r="B41" s="47"/>
      <c r="C41" s="47"/>
      <c r="D41" s="47"/>
      <c r="E41" s="47"/>
      <c r="F41" s="47"/>
      <c r="G41" s="47"/>
      <c r="H41" s="47"/>
      <c r="I41" s="47"/>
      <c r="J41" s="47"/>
      <c r="K41" s="47"/>
      <c r="L41" s="47"/>
      <c r="M41" s="47"/>
      <c r="N41" s="47"/>
      <c r="O41" s="47"/>
    </row>
    <row r="42" spans="1:15" ht="15.75" x14ac:dyDescent="0.25">
      <c r="A42" s="43" t="s">
        <v>48</v>
      </c>
      <c r="B42" s="45"/>
      <c r="C42" s="45">
        <f>C21/$A$5*3.125*6*24*28</f>
        <v>0.55499294117647058</v>
      </c>
      <c r="D42" s="45">
        <f t="shared" ref="D42:N42" si="13">D21/$A$5*3.125*6*24*28</f>
        <v>0.55499294117647058</v>
      </c>
      <c r="E42" s="45">
        <f>E21/$A$5*3.125*6*24*28</f>
        <v>1.6649788235294118</v>
      </c>
      <c r="F42" s="45">
        <f t="shared" ref="F42:G42" si="14">F21/$A$5*3.125*6*24*28</f>
        <v>1.424481882352941</v>
      </c>
      <c r="G42" s="45">
        <f t="shared" si="14"/>
        <v>1.424481882352941</v>
      </c>
      <c r="H42" s="45">
        <f>H21/$A$5*3.125*6*24*28</f>
        <v>1.424481882352941</v>
      </c>
      <c r="I42" s="45">
        <f t="shared" si="13"/>
        <v>1.424481882352941</v>
      </c>
      <c r="J42" s="45">
        <f t="shared" si="13"/>
        <v>1.424481882352941</v>
      </c>
      <c r="K42" s="45">
        <f t="shared" si="13"/>
        <v>1.424481882352941</v>
      </c>
      <c r="L42" s="45">
        <f t="shared" si="13"/>
        <v>1.424481882352941</v>
      </c>
      <c r="M42" s="45">
        <f t="shared" si="13"/>
        <v>1.424481882352941</v>
      </c>
      <c r="N42" s="45">
        <f t="shared" si="13"/>
        <v>1.424481882352941</v>
      </c>
      <c r="O42" s="114">
        <f t="shared" ref="O42" si="15">SUM(B42:N42)</f>
        <v>15.595301647058823</v>
      </c>
    </row>
    <row r="43" spans="1:15" ht="15.75" x14ac:dyDescent="0.25">
      <c r="A43" s="43" t="s">
        <v>133</v>
      </c>
      <c r="B43" s="45"/>
      <c r="C43" s="45">
        <f>C42*0.85</f>
        <v>0.471744</v>
      </c>
      <c r="D43" s="45">
        <f t="shared" ref="D43:N43" si="16">D42*0.85</f>
        <v>0.471744</v>
      </c>
      <c r="E43" s="45">
        <f t="shared" si="16"/>
        <v>1.415232</v>
      </c>
      <c r="F43" s="45">
        <f t="shared" si="16"/>
        <v>1.2108095999999999</v>
      </c>
      <c r="G43" s="45">
        <f t="shared" si="16"/>
        <v>1.2108095999999999</v>
      </c>
      <c r="H43" s="45">
        <f>H42*0.85</f>
        <v>1.2108095999999999</v>
      </c>
      <c r="I43" s="45">
        <f t="shared" si="16"/>
        <v>1.2108095999999999</v>
      </c>
      <c r="J43" s="45">
        <f t="shared" si="16"/>
        <v>1.2108095999999999</v>
      </c>
      <c r="K43" s="45">
        <f t="shared" si="16"/>
        <v>1.2108095999999999</v>
      </c>
      <c r="L43" s="45">
        <f t="shared" si="16"/>
        <v>1.2108095999999999</v>
      </c>
      <c r="M43" s="45">
        <f t="shared" si="16"/>
        <v>1.2108095999999999</v>
      </c>
      <c r="N43" s="45">
        <f t="shared" si="16"/>
        <v>1.2108095999999999</v>
      </c>
      <c r="O43" s="114">
        <f t="shared" ref="O43" si="17">SUM(B43:N43)</f>
        <v>13.256006399999997</v>
      </c>
    </row>
    <row r="44" spans="1:15" ht="15.75" x14ac:dyDescent="0.25">
      <c r="A44" s="49" t="s">
        <v>134</v>
      </c>
      <c r="B44" s="42"/>
      <c r="C44" s="129">
        <f>C43*$A$3</f>
        <v>37739.519999999997</v>
      </c>
      <c r="D44" s="129">
        <f>D43*$A$3</f>
        <v>37739.519999999997</v>
      </c>
      <c r="E44" s="129">
        <f t="shared" ref="E44:N44" si="18">E43*$A$3</f>
        <v>113218.56</v>
      </c>
      <c r="F44" s="129">
        <f>F42*$A$3</f>
        <v>113958.55058823529</v>
      </c>
      <c r="G44" s="129">
        <f>G43*$A$3</f>
        <v>96864.767999999996</v>
      </c>
      <c r="H44" s="129">
        <f>H43*$A$3</f>
        <v>96864.767999999996</v>
      </c>
      <c r="I44" s="129">
        <f t="shared" si="18"/>
        <v>96864.767999999996</v>
      </c>
      <c r="J44" s="129">
        <f t="shared" si="18"/>
        <v>96864.767999999996</v>
      </c>
      <c r="K44" s="129">
        <f t="shared" si="18"/>
        <v>96864.767999999996</v>
      </c>
      <c r="L44" s="129">
        <f t="shared" si="18"/>
        <v>96864.767999999996</v>
      </c>
      <c r="M44" s="129">
        <f t="shared" si="18"/>
        <v>96864.767999999996</v>
      </c>
      <c r="N44" s="129">
        <f t="shared" si="18"/>
        <v>96864.767999999996</v>
      </c>
      <c r="O44" s="42">
        <f>SUM(C44:N44)</f>
        <v>1077574.2945882354</v>
      </c>
    </row>
    <row r="45" spans="1:15" ht="16.5" thickBot="1" x14ac:dyDescent="0.3">
      <c r="A45" s="127"/>
      <c r="B45" s="128"/>
      <c r="C45" s="128"/>
      <c r="D45" s="128"/>
      <c r="E45" s="128"/>
      <c r="F45" s="128"/>
      <c r="G45" s="128"/>
      <c r="H45" s="128"/>
      <c r="I45" s="128"/>
      <c r="J45" s="128"/>
      <c r="K45" s="128"/>
      <c r="L45" s="128"/>
      <c r="M45" s="128"/>
      <c r="N45" s="128"/>
      <c r="O45" s="128"/>
    </row>
    <row r="46" spans="1:15" ht="16.5" thickBot="1" x14ac:dyDescent="0.3">
      <c r="A46" s="46" t="s">
        <v>91</v>
      </c>
      <c r="B46" s="47"/>
      <c r="C46" s="47"/>
      <c r="D46" s="47"/>
      <c r="E46" s="47"/>
      <c r="F46" s="47"/>
      <c r="G46" s="47"/>
      <c r="H46" s="47"/>
      <c r="I46" s="47"/>
      <c r="J46" s="47"/>
      <c r="K46" s="47"/>
      <c r="L46" s="47"/>
      <c r="M46" s="47"/>
      <c r="N46" s="47"/>
      <c r="O46" s="47"/>
    </row>
    <row r="47" spans="1:15" ht="15.75" x14ac:dyDescent="0.25">
      <c r="A47" s="130" t="s">
        <v>93</v>
      </c>
      <c r="B47" s="163">
        <v>0.3</v>
      </c>
      <c r="C47" s="129">
        <f>$B$47*C44</f>
        <v>11321.855999999998</v>
      </c>
      <c r="D47" s="129">
        <f t="shared" ref="D47:N47" si="19">$B$47*D44</f>
        <v>11321.855999999998</v>
      </c>
      <c r="E47" s="129">
        <f>$B$47*E44</f>
        <v>33965.567999999999</v>
      </c>
      <c r="F47" s="129">
        <f>$B$47*F44</f>
        <v>34187.565176470584</v>
      </c>
      <c r="G47" s="129">
        <f t="shared" si="19"/>
        <v>29059.430399999997</v>
      </c>
      <c r="H47" s="129">
        <f>$B$47*H44</f>
        <v>29059.430399999997</v>
      </c>
      <c r="I47" s="129">
        <f t="shared" si="19"/>
        <v>29059.430399999997</v>
      </c>
      <c r="J47" s="129">
        <f t="shared" si="19"/>
        <v>29059.430399999997</v>
      </c>
      <c r="K47" s="129">
        <f t="shared" si="19"/>
        <v>29059.430399999997</v>
      </c>
      <c r="L47" s="129">
        <f t="shared" si="19"/>
        <v>29059.430399999997</v>
      </c>
      <c r="M47" s="129">
        <f t="shared" si="19"/>
        <v>29059.430399999997</v>
      </c>
      <c r="N47" s="129">
        <f t="shared" si="19"/>
        <v>29059.430399999997</v>
      </c>
      <c r="O47" s="42">
        <f>SUM(C47:N47)</f>
        <v>323272.28837647062</v>
      </c>
    </row>
    <row r="48" spans="1:15" ht="15.75" x14ac:dyDescent="0.25">
      <c r="A48" s="130" t="s">
        <v>135</v>
      </c>
      <c r="B48" s="123"/>
      <c r="C48" s="129"/>
      <c r="D48" s="129"/>
      <c r="E48" s="129"/>
      <c r="F48" s="129">
        <f>0.03*F20*1000*24*30</f>
        <v>64864.799999999996</v>
      </c>
      <c r="G48" s="129"/>
      <c r="H48" s="129"/>
      <c r="I48" s="129"/>
      <c r="J48" s="129"/>
      <c r="K48" s="129"/>
      <c r="L48" s="129"/>
      <c r="M48" s="129"/>
      <c r="N48" s="129"/>
      <c r="O48" s="42"/>
    </row>
    <row r="49" spans="1:15" ht="15.75" x14ac:dyDescent="0.25">
      <c r="A49" s="130" t="s">
        <v>136</v>
      </c>
      <c r="B49" s="123"/>
      <c r="C49" s="129"/>
      <c r="D49" s="129"/>
      <c r="E49" s="129"/>
      <c r="F49" s="129"/>
      <c r="G49" s="129"/>
      <c r="H49" s="129"/>
      <c r="I49" s="129"/>
      <c r="J49" s="129"/>
      <c r="K49" s="129"/>
      <c r="L49" s="129"/>
      <c r="M49" s="129"/>
      <c r="N49" s="129"/>
      <c r="O49" s="42"/>
    </row>
    <row r="50" spans="1:15" ht="15.75" x14ac:dyDescent="0.25">
      <c r="A50" s="130" t="s">
        <v>137</v>
      </c>
      <c r="B50" s="123"/>
      <c r="C50" s="129"/>
      <c r="D50" s="129"/>
      <c r="E50" s="129"/>
      <c r="F50" s="129"/>
      <c r="G50" s="129"/>
      <c r="H50" s="129"/>
      <c r="I50" s="129"/>
      <c r="J50" s="129"/>
      <c r="K50" s="129"/>
      <c r="L50" s="129"/>
      <c r="M50" s="129"/>
      <c r="N50" s="129"/>
      <c r="O50" s="42"/>
    </row>
    <row r="51" spans="1:15" ht="15.75" x14ac:dyDescent="0.25">
      <c r="A51" s="126" t="s">
        <v>138</v>
      </c>
      <c r="B51" s="131"/>
      <c r="C51" s="42">
        <f>C44-C47</f>
        <v>26417.663999999997</v>
      </c>
      <c r="D51" s="42">
        <f t="shared" ref="D51:N51" si="20">D44-D47</f>
        <v>26417.663999999997</v>
      </c>
      <c r="E51" s="42">
        <f t="shared" si="20"/>
        <v>79252.991999999998</v>
      </c>
      <c r="F51" s="42">
        <f>F44-F47</f>
        <v>79770.985411764705</v>
      </c>
      <c r="G51" s="42">
        <f>G44-G47</f>
        <v>67805.337599999999</v>
      </c>
      <c r="H51" s="42">
        <f>H44-H47</f>
        <v>67805.337599999999</v>
      </c>
      <c r="I51" s="42">
        <f t="shared" si="20"/>
        <v>67805.337599999999</v>
      </c>
      <c r="J51" s="42">
        <f t="shared" si="20"/>
        <v>67805.337599999999</v>
      </c>
      <c r="K51" s="42">
        <f t="shared" si="20"/>
        <v>67805.337599999999</v>
      </c>
      <c r="L51" s="42">
        <f t="shared" si="20"/>
        <v>67805.337599999999</v>
      </c>
      <c r="M51" s="42">
        <f t="shared" si="20"/>
        <v>67805.337599999999</v>
      </c>
      <c r="N51" s="42">
        <f t="shared" si="20"/>
        <v>67805.337599999999</v>
      </c>
      <c r="O51" s="42">
        <f>SUM(C51:N51)</f>
        <v>754302.00621176453</v>
      </c>
    </row>
    <row r="52" spans="1:15" ht="15.75" thickBot="1" x14ac:dyDescent="0.3">
      <c r="G52" t="s">
        <v>45</v>
      </c>
    </row>
    <row r="53" spans="1:15" ht="16.5" thickBot="1" x14ac:dyDescent="0.3">
      <c r="A53" s="46" t="s">
        <v>40</v>
      </c>
      <c r="B53" s="47"/>
      <c r="C53" s="47"/>
      <c r="D53" s="47"/>
      <c r="E53" s="47"/>
      <c r="F53" s="47"/>
      <c r="G53" s="47"/>
      <c r="H53" s="47"/>
      <c r="I53" s="47"/>
      <c r="J53" s="47"/>
      <c r="K53" s="47"/>
      <c r="L53" s="47"/>
      <c r="M53" s="47"/>
      <c r="N53" s="47"/>
      <c r="O53" s="47"/>
    </row>
    <row r="54" spans="1:15" ht="15.75" x14ac:dyDescent="0.25">
      <c r="A54" s="48" t="s">
        <v>51</v>
      </c>
      <c r="B54" s="44">
        <f t="shared" ref="B54:N54" si="21">B36</f>
        <v>458131.136</v>
      </c>
      <c r="C54" s="44">
        <f t="shared" si="21"/>
        <v>0</v>
      </c>
      <c r="D54" s="44">
        <f t="shared" si="21"/>
        <v>0</v>
      </c>
      <c r="E54" s="44">
        <f t="shared" si="21"/>
        <v>951800</v>
      </c>
      <c r="F54" s="44">
        <f t="shared" si="21"/>
        <v>0</v>
      </c>
      <c r="G54" s="44">
        <f t="shared" si="21"/>
        <v>30000</v>
      </c>
      <c r="H54" s="44">
        <f t="shared" si="21"/>
        <v>30000</v>
      </c>
      <c r="I54" s="44">
        <f t="shared" si="21"/>
        <v>0</v>
      </c>
      <c r="J54" s="44">
        <f t="shared" si="21"/>
        <v>0</v>
      </c>
      <c r="K54" s="44">
        <f t="shared" si="21"/>
        <v>0</v>
      </c>
      <c r="L54" s="44">
        <f t="shared" si="21"/>
        <v>0</v>
      </c>
      <c r="M54" s="44">
        <f t="shared" si="21"/>
        <v>0</v>
      </c>
      <c r="N54" s="44">
        <f t="shared" si="21"/>
        <v>0</v>
      </c>
    </row>
    <row r="55" spans="1:15" ht="15.75" x14ac:dyDescent="0.25">
      <c r="A55" s="49" t="s">
        <v>95</v>
      </c>
      <c r="B55" s="41">
        <f t="shared" ref="B55:N55" si="22">B40</f>
        <v>0</v>
      </c>
      <c r="C55" s="41">
        <f t="shared" si="22"/>
        <v>0</v>
      </c>
      <c r="D55" s="41">
        <f t="shared" si="22"/>
        <v>0</v>
      </c>
      <c r="E55" s="41">
        <f t="shared" si="22"/>
        <v>0</v>
      </c>
      <c r="F55" s="41">
        <f t="shared" si="22"/>
        <v>0</v>
      </c>
      <c r="G55" s="41">
        <f t="shared" si="22"/>
        <v>0</v>
      </c>
      <c r="H55" s="41" t="e">
        <f t="shared" si="22"/>
        <v>#REF!</v>
      </c>
      <c r="I55" s="41" t="e">
        <f t="shared" si="22"/>
        <v>#REF!</v>
      </c>
      <c r="J55" s="41" t="e">
        <f t="shared" si="22"/>
        <v>#REF!</v>
      </c>
      <c r="K55" s="41" t="e">
        <f t="shared" si="22"/>
        <v>#REF!</v>
      </c>
      <c r="L55" s="41" t="e">
        <f t="shared" si="22"/>
        <v>#REF!</v>
      </c>
      <c r="M55" s="41" t="e">
        <f t="shared" si="22"/>
        <v>#REF!</v>
      </c>
      <c r="N55" s="41" t="e">
        <f t="shared" si="22"/>
        <v>#REF!</v>
      </c>
    </row>
    <row r="56" spans="1:15" ht="15.75" x14ac:dyDescent="0.25">
      <c r="A56" s="49" t="s">
        <v>46</v>
      </c>
      <c r="B56" s="41"/>
      <c r="C56" s="41">
        <f>C51</f>
        <v>26417.663999999997</v>
      </c>
      <c r="D56" s="41">
        <f t="shared" ref="D56:N56" si="23">D51</f>
        <v>26417.663999999997</v>
      </c>
      <c r="E56" s="41">
        <f t="shared" si="23"/>
        <v>79252.991999999998</v>
      </c>
      <c r="F56" s="41">
        <f t="shared" si="23"/>
        <v>79770.985411764705</v>
      </c>
      <c r="G56" s="41">
        <f t="shared" si="23"/>
        <v>67805.337599999999</v>
      </c>
      <c r="H56" s="41">
        <f>H51</f>
        <v>67805.337599999999</v>
      </c>
      <c r="I56" s="41">
        <f t="shared" si="23"/>
        <v>67805.337599999999</v>
      </c>
      <c r="J56" s="41">
        <f t="shared" si="23"/>
        <v>67805.337599999999</v>
      </c>
      <c r="K56" s="41">
        <f t="shared" si="23"/>
        <v>67805.337599999999</v>
      </c>
      <c r="L56" s="41">
        <f t="shared" si="23"/>
        <v>67805.337599999999</v>
      </c>
      <c r="M56" s="41">
        <f t="shared" si="23"/>
        <v>67805.337599999999</v>
      </c>
      <c r="N56" s="41">
        <f t="shared" si="23"/>
        <v>67805.337599999999</v>
      </c>
    </row>
    <row r="57" spans="1:15" ht="15.75" x14ac:dyDescent="0.25">
      <c r="A57" s="50" t="s">
        <v>96</v>
      </c>
      <c r="B57" s="125">
        <f>B36+C36</f>
        <v>458131.136</v>
      </c>
      <c r="C57" s="41">
        <f>B59</f>
        <v>0</v>
      </c>
      <c r="D57" s="41">
        <f t="shared" ref="D57:N57" si="24">C59</f>
        <v>26417.663999999997</v>
      </c>
      <c r="E57" s="41">
        <f t="shared" si="24"/>
        <v>52835.327999999994</v>
      </c>
      <c r="F57" s="41">
        <f t="shared" si="24"/>
        <v>-819711.68</v>
      </c>
      <c r="G57" s="41">
        <f t="shared" si="24"/>
        <v>-739940.69458823535</v>
      </c>
      <c r="H57" s="41">
        <f t="shared" si="24"/>
        <v>-702135.35698823538</v>
      </c>
      <c r="I57" s="41" t="e">
        <f t="shared" si="24"/>
        <v>#REF!</v>
      </c>
      <c r="J57" s="41" t="e">
        <f t="shared" si="24"/>
        <v>#REF!</v>
      </c>
      <c r="K57" s="41" t="e">
        <f t="shared" si="24"/>
        <v>#REF!</v>
      </c>
      <c r="L57" s="41" t="e">
        <f t="shared" si="24"/>
        <v>#REF!</v>
      </c>
      <c r="M57" s="41" t="e">
        <f t="shared" si="24"/>
        <v>#REF!</v>
      </c>
      <c r="N57" s="41" t="e">
        <f t="shared" si="24"/>
        <v>#REF!</v>
      </c>
    </row>
    <row r="58" spans="1:15" ht="15.75" x14ac:dyDescent="0.25">
      <c r="A58" s="50" t="s">
        <v>97</v>
      </c>
      <c r="B58" s="41">
        <f>B56-B54-B55</f>
        <v>-458131.136</v>
      </c>
      <c r="C58" s="41">
        <f t="shared" ref="C58:N58" si="25">C56-C54-C55</f>
        <v>26417.663999999997</v>
      </c>
      <c r="D58" s="41">
        <f t="shared" si="25"/>
        <v>26417.663999999997</v>
      </c>
      <c r="E58" s="41">
        <f t="shared" si="25"/>
        <v>-872547.00800000003</v>
      </c>
      <c r="F58" s="41">
        <f t="shared" si="25"/>
        <v>79770.985411764705</v>
      </c>
      <c r="G58" s="41">
        <f t="shared" si="25"/>
        <v>37805.337599999999</v>
      </c>
      <c r="H58" s="41" t="e">
        <f t="shared" si="25"/>
        <v>#REF!</v>
      </c>
      <c r="I58" s="41" t="e">
        <f t="shared" si="25"/>
        <v>#REF!</v>
      </c>
      <c r="J58" s="41" t="e">
        <f t="shared" si="25"/>
        <v>#REF!</v>
      </c>
      <c r="K58" s="41" t="e">
        <f t="shared" si="25"/>
        <v>#REF!</v>
      </c>
      <c r="L58" s="41" t="e">
        <f t="shared" si="25"/>
        <v>#REF!</v>
      </c>
      <c r="M58" s="41" t="e">
        <f t="shared" si="25"/>
        <v>#REF!</v>
      </c>
      <c r="N58" s="41" t="e">
        <f t="shared" si="25"/>
        <v>#REF!</v>
      </c>
    </row>
    <row r="59" spans="1:15" ht="15.75" x14ac:dyDescent="0.25">
      <c r="A59" s="50" t="s">
        <v>98</v>
      </c>
      <c r="B59" s="41">
        <f>B58+B57</f>
        <v>0</v>
      </c>
      <c r="C59" s="41">
        <f>C58+C57</f>
        <v>26417.663999999997</v>
      </c>
      <c r="D59" s="41">
        <f t="shared" ref="D59:N59" si="26">D58+D57</f>
        <v>52835.327999999994</v>
      </c>
      <c r="E59" s="41">
        <f t="shared" si="26"/>
        <v>-819711.68</v>
      </c>
      <c r="F59" s="41">
        <f>F58+F57</f>
        <v>-739940.69458823535</v>
      </c>
      <c r="G59" s="41">
        <f t="shared" si="26"/>
        <v>-702135.35698823538</v>
      </c>
      <c r="H59" s="41" t="e">
        <f t="shared" si="26"/>
        <v>#REF!</v>
      </c>
      <c r="I59" s="41" t="e">
        <f t="shared" si="26"/>
        <v>#REF!</v>
      </c>
      <c r="J59" s="41" t="e">
        <f t="shared" si="26"/>
        <v>#REF!</v>
      </c>
      <c r="K59" s="41" t="e">
        <f t="shared" si="26"/>
        <v>#REF!</v>
      </c>
      <c r="L59" s="41" t="e">
        <f t="shared" si="26"/>
        <v>#REF!</v>
      </c>
      <c r="M59" s="41" t="e">
        <f t="shared" si="26"/>
        <v>#REF!</v>
      </c>
      <c r="N59" s="41" t="e">
        <f t="shared" si="26"/>
        <v>#REF!</v>
      </c>
    </row>
    <row r="60" spans="1:15" x14ac:dyDescent="0.25">
      <c r="E60" s="14"/>
      <c r="F60" s="14"/>
      <c r="G60" s="14"/>
    </row>
    <row r="61" spans="1:15" ht="15.75" x14ac:dyDescent="0.25">
      <c r="A61" s="132" t="s">
        <v>139</v>
      </c>
      <c r="B61">
        <v>1.43</v>
      </c>
      <c r="E61" s="14"/>
    </row>
    <row r="62" spans="1:15" ht="15.75" x14ac:dyDescent="0.25">
      <c r="A62" s="50" t="s">
        <v>96</v>
      </c>
      <c r="B62" s="125">
        <f>B57*$B$61</f>
        <v>655127.52448000002</v>
      </c>
      <c r="C62" s="41">
        <f t="shared" ref="C62:N62" si="27">C57*$B$61</f>
        <v>0</v>
      </c>
      <c r="D62" s="41">
        <f t="shared" si="27"/>
        <v>37777.259519999992</v>
      </c>
      <c r="E62" s="41">
        <f t="shared" si="27"/>
        <v>75554.519039999985</v>
      </c>
      <c r="F62" s="41">
        <f t="shared" si="27"/>
        <v>-1172187.7024000001</v>
      </c>
      <c r="G62" s="41">
        <f t="shared" si="27"/>
        <v>-1058115.1932611766</v>
      </c>
      <c r="H62" s="41">
        <f t="shared" si="27"/>
        <v>-1004053.5604931766</v>
      </c>
      <c r="I62" s="41" t="e">
        <f t="shared" si="27"/>
        <v>#REF!</v>
      </c>
      <c r="J62" s="41" t="e">
        <f t="shared" si="27"/>
        <v>#REF!</v>
      </c>
      <c r="K62" s="41" t="e">
        <f t="shared" si="27"/>
        <v>#REF!</v>
      </c>
      <c r="L62" s="41" t="e">
        <f t="shared" si="27"/>
        <v>#REF!</v>
      </c>
      <c r="M62" s="41" t="e">
        <f t="shared" si="27"/>
        <v>#REF!</v>
      </c>
      <c r="N62" s="41" t="e">
        <f t="shared" si="27"/>
        <v>#REF!</v>
      </c>
    </row>
    <row r="63" spans="1:15" ht="15.75" x14ac:dyDescent="0.25">
      <c r="A63" s="50" t="s">
        <v>97</v>
      </c>
      <c r="B63" s="41">
        <f t="shared" ref="B63:N64" si="28">B58*$B$61</f>
        <v>-655127.52448000002</v>
      </c>
      <c r="C63" s="41">
        <f t="shared" si="28"/>
        <v>37777.259519999992</v>
      </c>
      <c r="D63" s="41">
        <f t="shared" si="28"/>
        <v>37777.259519999992</v>
      </c>
      <c r="E63" s="41">
        <f t="shared" si="28"/>
        <v>-1247742.22144</v>
      </c>
      <c r="F63" s="41">
        <f t="shared" si="28"/>
        <v>114072.50913882352</v>
      </c>
      <c r="G63" s="41">
        <f t="shared" si="28"/>
        <v>54061.632767999996</v>
      </c>
      <c r="H63" s="41" t="e">
        <f t="shared" si="28"/>
        <v>#REF!</v>
      </c>
      <c r="I63" s="41" t="e">
        <f t="shared" si="28"/>
        <v>#REF!</v>
      </c>
      <c r="J63" s="41" t="e">
        <f t="shared" si="28"/>
        <v>#REF!</v>
      </c>
      <c r="K63" s="41" t="e">
        <f t="shared" si="28"/>
        <v>#REF!</v>
      </c>
      <c r="L63" s="41" t="e">
        <f t="shared" si="28"/>
        <v>#REF!</v>
      </c>
      <c r="M63" s="41" t="e">
        <f t="shared" si="28"/>
        <v>#REF!</v>
      </c>
      <c r="N63" s="41" t="e">
        <f t="shared" si="28"/>
        <v>#REF!</v>
      </c>
    </row>
    <row r="64" spans="1:15" ht="15.75" x14ac:dyDescent="0.25">
      <c r="A64" s="50" t="s">
        <v>98</v>
      </c>
      <c r="B64" s="41">
        <f t="shared" si="28"/>
        <v>0</v>
      </c>
      <c r="C64" s="41">
        <f t="shared" si="28"/>
        <v>37777.259519999992</v>
      </c>
      <c r="D64" s="41">
        <f t="shared" si="28"/>
        <v>75554.519039999985</v>
      </c>
      <c r="E64" s="41">
        <f t="shared" si="28"/>
        <v>-1172187.7024000001</v>
      </c>
      <c r="F64" s="41">
        <f t="shared" si="28"/>
        <v>-1058115.1932611766</v>
      </c>
      <c r="G64" s="41">
        <f t="shared" si="28"/>
        <v>-1004053.5604931766</v>
      </c>
      <c r="H64" s="41" t="e">
        <f t="shared" si="28"/>
        <v>#REF!</v>
      </c>
      <c r="I64" s="41" t="e">
        <f t="shared" si="28"/>
        <v>#REF!</v>
      </c>
      <c r="J64" s="41" t="e">
        <f t="shared" si="28"/>
        <v>#REF!</v>
      </c>
      <c r="K64" s="41" t="e">
        <f t="shared" si="28"/>
        <v>#REF!</v>
      </c>
      <c r="L64" s="41" t="e">
        <f t="shared" si="28"/>
        <v>#REF!</v>
      </c>
      <c r="M64" s="41" t="e">
        <f t="shared" si="28"/>
        <v>#REF!</v>
      </c>
      <c r="N64" s="41" t="e">
        <f t="shared" si="28"/>
        <v>#REF!</v>
      </c>
    </row>
    <row r="66" spans="5:10" x14ac:dyDescent="0.25">
      <c r="E66" s="158">
        <v>1</v>
      </c>
      <c r="F66" s="14">
        <v>10755.76</v>
      </c>
      <c r="G66" t="s">
        <v>140</v>
      </c>
      <c r="J66" s="14"/>
    </row>
    <row r="67" spans="5:10" x14ac:dyDescent="0.25">
      <c r="E67" s="158">
        <v>0.85</v>
      </c>
      <c r="F67" s="13">
        <f>91423.99/10</f>
        <v>9142.3990000000013</v>
      </c>
      <c r="G67" t="s">
        <v>141</v>
      </c>
    </row>
    <row r="70" spans="5:10" x14ac:dyDescent="0.25">
      <c r="F70" s="14">
        <f>F66*2*10</f>
        <v>215115.2</v>
      </c>
    </row>
  </sheetData>
  <phoneticPr fontId="16" type="noConversion"/>
  <conditionalFormatting sqref="B59:N59">
    <cfRule type="cellIs" dxfId="1" priority="5" operator="lessThan">
      <formula>0</formula>
    </cfRule>
  </conditionalFormatting>
  <conditionalFormatting sqref="B64:N64">
    <cfRule type="cellIs" dxfId="0" priority="6" operator="lessThan">
      <formula>0</formula>
    </cfRule>
  </conditionalFormatting>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290F2-FEA8-410B-86CA-36FDA4BCD043}">
  <dimension ref="A1:H32"/>
  <sheetViews>
    <sheetView workbookViewId="0">
      <selection activeCell="H26" sqref="H26"/>
    </sheetView>
  </sheetViews>
  <sheetFormatPr defaultRowHeight="15" x14ac:dyDescent="0.25"/>
  <cols>
    <col min="4" max="4" width="44.7109375" customWidth="1"/>
    <col min="5" max="5" width="14.28515625" style="138" bestFit="1" customWidth="1"/>
    <col min="6" max="6" width="14.28515625" style="13" bestFit="1" customWidth="1"/>
  </cols>
  <sheetData>
    <row r="1" spans="1:8" x14ac:dyDescent="0.25">
      <c r="A1" s="140" t="s">
        <v>99</v>
      </c>
      <c r="B1" s="141"/>
      <c r="C1" s="141"/>
      <c r="D1" s="141" t="s">
        <v>100</v>
      </c>
      <c r="E1" s="145" t="s">
        <v>101</v>
      </c>
      <c r="F1" s="142" t="s">
        <v>102</v>
      </c>
      <c r="G1" s="141" t="s">
        <v>103</v>
      </c>
      <c r="H1" s="136">
        <v>1.4</v>
      </c>
    </row>
    <row r="2" spans="1:8" x14ac:dyDescent="0.25">
      <c r="A2" s="143"/>
      <c r="B2" s="143">
        <v>1.1000000000000001</v>
      </c>
      <c r="C2" s="143"/>
      <c r="D2" s="143" t="s">
        <v>79</v>
      </c>
      <c r="E2" s="146">
        <f>SUM(E3:E3)</f>
        <v>240000</v>
      </c>
      <c r="F2" s="144">
        <f t="shared" ref="F2:F32" si="0">E2*$H$1</f>
        <v>336000</v>
      </c>
    </row>
    <row r="3" spans="1:8" x14ac:dyDescent="0.25">
      <c r="C3" t="s">
        <v>104</v>
      </c>
      <c r="D3" t="s">
        <v>142</v>
      </c>
      <c r="E3" s="138">
        <f>'Site2 Overview'!B24</f>
        <v>240000</v>
      </c>
      <c r="F3" s="13">
        <f t="shared" si="0"/>
        <v>336000</v>
      </c>
    </row>
    <row r="4" spans="1:8" x14ac:dyDescent="0.25">
      <c r="A4" s="143"/>
      <c r="B4" s="143">
        <v>1.2</v>
      </c>
      <c r="C4" s="143"/>
      <c r="D4" s="143" t="s">
        <v>19</v>
      </c>
      <c r="E4" s="146">
        <f>SUM(E5:E5)</f>
        <v>432000</v>
      </c>
      <c r="F4" s="144">
        <f t="shared" si="0"/>
        <v>604800</v>
      </c>
    </row>
    <row r="5" spans="1:8" x14ac:dyDescent="0.25">
      <c r="C5" t="s">
        <v>108</v>
      </c>
      <c r="D5" t="s">
        <v>143</v>
      </c>
      <c r="E5" s="138">
        <f>'Site2 Overview'!B26</f>
        <v>432000</v>
      </c>
      <c r="F5" s="13">
        <f t="shared" si="0"/>
        <v>604800</v>
      </c>
    </row>
    <row r="6" spans="1:8" x14ac:dyDescent="0.25">
      <c r="A6" s="143"/>
      <c r="B6" s="143">
        <v>1.3</v>
      </c>
      <c r="C6" s="143"/>
      <c r="D6" s="143" t="s">
        <v>52</v>
      </c>
      <c r="E6" s="146">
        <f>SUM(E7:E7)</f>
        <v>90000</v>
      </c>
      <c r="F6" s="144">
        <f t="shared" si="0"/>
        <v>125999.99999999999</v>
      </c>
    </row>
    <row r="7" spans="1:8" x14ac:dyDescent="0.25">
      <c r="C7" t="s">
        <v>112</v>
      </c>
      <c r="D7" t="s">
        <v>144</v>
      </c>
      <c r="E7" s="138">
        <f>'Site2 Overview'!B27</f>
        <v>90000</v>
      </c>
      <c r="F7" s="13">
        <f t="shared" si="0"/>
        <v>125999.99999999999</v>
      </c>
    </row>
    <row r="8" spans="1:8" x14ac:dyDescent="0.25">
      <c r="A8" s="143"/>
      <c r="B8" s="143">
        <v>1.4</v>
      </c>
      <c r="C8" s="143"/>
      <c r="D8" s="143" t="s">
        <v>116</v>
      </c>
      <c r="E8" s="146">
        <f>SUM(E9:E10)</f>
        <v>70000</v>
      </c>
      <c r="F8" s="144">
        <f t="shared" si="0"/>
        <v>98000</v>
      </c>
    </row>
    <row r="9" spans="1:8" x14ac:dyDescent="0.25">
      <c r="C9" t="s">
        <v>117</v>
      </c>
      <c r="D9" t="s">
        <v>118</v>
      </c>
      <c r="E9" s="138">
        <f>12000*5</f>
        <v>60000</v>
      </c>
      <c r="F9" s="13">
        <f t="shared" si="0"/>
        <v>84000</v>
      </c>
    </row>
    <row r="10" spans="1:8" x14ac:dyDescent="0.25">
      <c r="C10" t="s">
        <v>119</v>
      </c>
      <c r="D10" t="s">
        <v>120</v>
      </c>
      <c r="E10" s="138">
        <f>2000*5</f>
        <v>10000</v>
      </c>
      <c r="F10" s="13">
        <f t="shared" si="0"/>
        <v>14000</v>
      </c>
    </row>
    <row r="11" spans="1:8" x14ac:dyDescent="0.25">
      <c r="A11" s="143"/>
      <c r="B11" s="143">
        <v>1.5</v>
      </c>
      <c r="C11" s="143"/>
      <c r="D11" s="143" t="s">
        <v>121</v>
      </c>
      <c r="E11" s="146">
        <f>SUM(E12:E15)</f>
        <v>18000</v>
      </c>
      <c r="F11" s="144">
        <f t="shared" si="0"/>
        <v>25200</v>
      </c>
    </row>
    <row r="12" spans="1:8" x14ac:dyDescent="0.25">
      <c r="D12" t="s">
        <v>122</v>
      </c>
      <c r="E12" s="138">
        <v>12000</v>
      </c>
      <c r="F12" s="13">
        <f t="shared" si="0"/>
        <v>16800</v>
      </c>
    </row>
    <row r="13" spans="1:8" x14ac:dyDescent="0.25">
      <c r="D13" t="s">
        <v>123</v>
      </c>
      <c r="E13" s="138">
        <v>2000</v>
      </c>
      <c r="F13" s="13">
        <f t="shared" si="0"/>
        <v>2800</v>
      </c>
    </row>
    <row r="14" spans="1:8" x14ac:dyDescent="0.25">
      <c r="D14" t="s">
        <v>124</v>
      </c>
      <c r="E14" s="138">
        <v>2000</v>
      </c>
      <c r="F14" s="13">
        <f t="shared" si="0"/>
        <v>2800</v>
      </c>
    </row>
    <row r="15" spans="1:8" x14ac:dyDescent="0.25">
      <c r="D15" t="s">
        <v>125</v>
      </c>
      <c r="E15" s="138">
        <v>2000</v>
      </c>
      <c r="F15" s="13">
        <f t="shared" si="0"/>
        <v>2800</v>
      </c>
    </row>
    <row r="16" spans="1:8" x14ac:dyDescent="0.25">
      <c r="A16" s="143"/>
      <c r="B16" s="143">
        <v>1.6</v>
      </c>
      <c r="C16" s="143"/>
      <c r="D16" s="143" t="s">
        <v>126</v>
      </c>
      <c r="E16" s="146">
        <f>SUM(E17:E20)</f>
        <v>5500</v>
      </c>
      <c r="F16" s="144">
        <f t="shared" si="0"/>
        <v>7699.9999999999991</v>
      </c>
    </row>
    <row r="17" spans="1:6" x14ac:dyDescent="0.25">
      <c r="D17" t="s">
        <v>122</v>
      </c>
      <c r="E17" s="138">
        <v>1500</v>
      </c>
      <c r="F17" s="13">
        <f t="shared" si="0"/>
        <v>2100</v>
      </c>
    </row>
    <row r="18" spans="1:6" x14ac:dyDescent="0.25">
      <c r="D18" t="s">
        <v>123</v>
      </c>
      <c r="E18" s="138">
        <v>1000</v>
      </c>
      <c r="F18" s="13">
        <f t="shared" si="0"/>
        <v>1400</v>
      </c>
    </row>
    <row r="19" spans="1:6" x14ac:dyDescent="0.25">
      <c r="D19" t="s">
        <v>124</v>
      </c>
      <c r="E19" s="138">
        <v>1000</v>
      </c>
      <c r="F19" s="13">
        <f t="shared" si="0"/>
        <v>1400</v>
      </c>
    </row>
    <row r="20" spans="1:6" x14ac:dyDescent="0.25">
      <c r="D20" t="s">
        <v>125</v>
      </c>
      <c r="E20" s="138">
        <v>2000</v>
      </c>
      <c r="F20" s="13">
        <f t="shared" si="0"/>
        <v>2800</v>
      </c>
    </row>
    <row r="21" spans="1:6" x14ac:dyDescent="0.25">
      <c r="A21" s="143"/>
      <c r="B21" s="143">
        <v>1.7</v>
      </c>
      <c r="C21" s="143"/>
      <c r="D21" s="143" t="s">
        <v>21</v>
      </c>
      <c r="E21" s="146">
        <f>SUM(E22:E25)</f>
        <v>0</v>
      </c>
      <c r="F21" s="144">
        <f t="shared" si="0"/>
        <v>0</v>
      </c>
    </row>
    <row r="22" spans="1:6" x14ac:dyDescent="0.25">
      <c r="F22" s="13">
        <f t="shared" si="0"/>
        <v>0</v>
      </c>
    </row>
    <row r="23" spans="1:6" x14ac:dyDescent="0.25">
      <c r="F23" s="13">
        <f t="shared" si="0"/>
        <v>0</v>
      </c>
    </row>
    <row r="24" spans="1:6" x14ac:dyDescent="0.25">
      <c r="F24" s="13">
        <f t="shared" si="0"/>
        <v>0</v>
      </c>
    </row>
    <row r="25" spans="1:6" x14ac:dyDescent="0.25">
      <c r="F25" s="13">
        <f t="shared" si="0"/>
        <v>0</v>
      </c>
    </row>
    <row r="26" spans="1:6" x14ac:dyDescent="0.25">
      <c r="F26" s="13">
        <f t="shared" si="0"/>
        <v>0</v>
      </c>
    </row>
    <row r="27" spans="1:6" x14ac:dyDescent="0.25">
      <c r="A27" s="143"/>
      <c r="B27" s="143">
        <v>1.8</v>
      </c>
      <c r="C27" s="143"/>
      <c r="D27" s="143" t="s">
        <v>127</v>
      </c>
      <c r="E27" s="146">
        <f>SUM(E28:E31)</f>
        <v>0</v>
      </c>
      <c r="F27" s="144">
        <f t="shared" si="0"/>
        <v>0</v>
      </c>
    </row>
    <row r="28" spans="1:6" x14ac:dyDescent="0.25">
      <c r="F28" s="13">
        <f t="shared" si="0"/>
        <v>0</v>
      </c>
    </row>
    <row r="29" spans="1:6" x14ac:dyDescent="0.25">
      <c r="F29" s="13">
        <f t="shared" si="0"/>
        <v>0</v>
      </c>
    </row>
    <row r="30" spans="1:6" x14ac:dyDescent="0.25">
      <c r="F30" s="13">
        <f t="shared" si="0"/>
        <v>0</v>
      </c>
    </row>
    <row r="31" spans="1:6" x14ac:dyDescent="0.25">
      <c r="F31" s="13">
        <f t="shared" si="0"/>
        <v>0</v>
      </c>
    </row>
    <row r="32" spans="1:6" x14ac:dyDescent="0.25">
      <c r="F32" s="13">
        <f t="shared" si="0"/>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7B3F7628B51FB4393B631E731175BE1" ma:contentTypeVersion="19" ma:contentTypeDescription="Create a new document." ma:contentTypeScope="" ma:versionID="b93de007c5d00291125e14d15b82cf6b">
  <xsd:schema xmlns:xsd="http://www.w3.org/2001/XMLSchema" xmlns:xs="http://www.w3.org/2001/XMLSchema" xmlns:p="http://schemas.microsoft.com/office/2006/metadata/properties" xmlns:ns2="7851470f-74e3-4e82-a432-352d31fa6f15" xmlns:ns3="7b4d7f7b-fb92-4b83-b831-07ab339b3d72" targetNamespace="http://schemas.microsoft.com/office/2006/metadata/properties" ma:root="true" ma:fieldsID="1a53112b52db544e869f9fe91708bea8" ns2:_="" ns3:_="">
    <xsd:import namespace="7851470f-74e3-4e82-a432-352d31fa6f15"/>
    <xsd:import namespace="7b4d7f7b-fb92-4b83-b831-07ab339b3d7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element ref="ns2:MediaServiceLocation" minOccurs="0"/>
                <xsd:element ref="ns3:SharedWithUsers" minOccurs="0"/>
                <xsd:element ref="ns3:SharedWithDetails" minOccurs="0"/>
                <xsd:element ref="ns2:Company" minOccurs="0"/>
                <xsd:element ref="ns2:Contact" minOccurs="0"/>
                <xsd:element ref="ns2:Comments" minOccurs="0"/>
                <xsd:element ref="ns2:DocTyp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1470f-74e3-4e82-a432-352d31fa6f1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af8e3241-73ff-4e45-93c7-06b9b8e1bbf0"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Company" ma:index="22" nillable="true" ma:displayName="Company" ma:format="Dropdown" ma:internalName="Company">
      <xsd:simpleType>
        <xsd:restriction base="dms:Text">
          <xsd:maxLength value="255"/>
        </xsd:restriction>
      </xsd:simpleType>
    </xsd:element>
    <xsd:element name="Contact" ma:index="23" nillable="true" ma:displayName="Contact" ma:format="Dropdown" ma:internalName="Contact">
      <xsd:simpleType>
        <xsd:restriction base="dms:Text">
          <xsd:maxLength value="255"/>
        </xsd:restriction>
      </xsd:simpleType>
    </xsd:element>
    <xsd:element name="Comments" ma:index="24" nillable="true" ma:displayName="Comments" ma:format="Dropdown" ma:internalName="Comments">
      <xsd:simpleType>
        <xsd:restriction base="dms:Note">
          <xsd:maxLength value="255"/>
        </xsd:restriction>
      </xsd:simpleType>
    </xsd:element>
    <xsd:element name="DocType" ma:index="25" nillable="true" ma:displayName="Doc Type" ma:description="Type of document" ma:format="Dropdown" ma:internalName="DocType">
      <xsd:simpleType>
        <xsd:union memberTypes="dms:Text">
          <xsd:simpleType>
            <xsd:restriction base="dms:Choice">
              <xsd:enumeration value="Vendor Bid"/>
              <xsd:enumeration value="Email"/>
              <xsd:enumeration value="Client Request"/>
              <xsd:enumeration value="Choice 4"/>
            </xsd:restriction>
          </xsd:simpleType>
        </xsd:union>
      </xsd:simpleType>
    </xsd:element>
    <xsd:element name="MediaLengthInSeconds" ma:index="26"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b4d7f7b-fb92-4b83-b831-07ab339b3d72"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ada6c4d-1f6d-4100-81dc-d0195356eb1c}" ma:internalName="TaxCatchAll" ma:showField="CatchAllData" ma:web="7b4d7f7b-fb92-4b83-b831-07ab339b3d72">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851470f-74e3-4e82-a432-352d31fa6f15">
      <Terms xmlns="http://schemas.microsoft.com/office/infopath/2007/PartnerControls"/>
    </lcf76f155ced4ddcb4097134ff3c332f>
    <TaxCatchAll xmlns="7b4d7f7b-fb92-4b83-b831-07ab339b3d72" xsi:nil="true"/>
    <SharedWithUsers xmlns="7b4d7f7b-fb92-4b83-b831-07ab339b3d72">
      <UserInfo>
        <DisplayName>Brian Claypool</DisplayName>
        <AccountId>13</AccountId>
        <AccountType/>
      </UserInfo>
      <UserInfo>
        <DisplayName>Tyler Macpherson</DisplayName>
        <AccountId>17</AccountId>
        <AccountType/>
      </UserInfo>
      <UserInfo>
        <DisplayName>David Billay</DisplayName>
        <AccountId>26</AccountId>
        <AccountType/>
      </UserInfo>
    </SharedWithUsers>
    <Company xmlns="7851470f-74e3-4e82-a432-352d31fa6f15" xsi:nil="true"/>
    <Contact xmlns="7851470f-74e3-4e82-a432-352d31fa6f15" xsi:nil="true"/>
    <Comments xmlns="7851470f-74e3-4e82-a432-352d31fa6f15" xsi:nil="true"/>
    <DocType xmlns="7851470f-74e3-4e82-a432-352d31fa6f15" xsi:nil="true"/>
  </documentManagement>
</p:properties>
</file>

<file path=customXml/itemProps1.xml><?xml version="1.0" encoding="utf-8"?>
<ds:datastoreItem xmlns:ds="http://schemas.openxmlformats.org/officeDocument/2006/customXml" ds:itemID="{D702CDEC-CD26-4B4D-A4C7-2148957B4CE0}">
  <ds:schemaRefs>
    <ds:schemaRef ds:uri="http://schemas.microsoft.com/sharepoint/v3/contenttype/forms"/>
  </ds:schemaRefs>
</ds:datastoreItem>
</file>

<file path=customXml/itemProps2.xml><?xml version="1.0" encoding="utf-8"?>
<ds:datastoreItem xmlns:ds="http://schemas.openxmlformats.org/officeDocument/2006/customXml" ds:itemID="{DCF5A798-C428-4860-BA86-536605E65F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851470f-74e3-4e82-a432-352d31fa6f15"/>
    <ds:schemaRef ds:uri="7b4d7f7b-fb92-4b83-b831-07ab339b3d7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3973B40-FD7A-466E-9E04-B12C9173CB1C}">
  <ds:schemaRefs>
    <ds:schemaRef ds:uri="http://purl.org/dc/terms/"/>
    <ds:schemaRef ds:uri="http://purl.org/dc/elements/1.1/"/>
    <ds:schemaRef ds:uri="http://schemas.microsoft.com/office/infopath/2007/PartnerControls"/>
    <ds:schemaRef ds:uri="http://schemas.openxmlformats.org/package/2006/metadata/core-properties"/>
    <ds:schemaRef ds:uri="7851470f-74e3-4e82-a432-352d31fa6f15"/>
    <ds:schemaRef ds:uri="http://www.w3.org/XML/1998/namespace"/>
    <ds:schemaRef ds:uri="http://schemas.microsoft.com/office/2006/documentManagement/types"/>
    <ds:schemaRef ds:uri="http://purl.org/dc/dcmitype/"/>
    <ds:schemaRef ds:uri="http://schemas.microsoft.com/office/2006/metadata/properties"/>
    <ds:schemaRef ds:uri="7b4d7f7b-fb92-4b83-b831-07ab339b3d7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Material Procurement</vt:lpstr>
      <vt:lpstr>Axxela 10MW - BTC model</vt:lpstr>
      <vt:lpstr>Bitcoin Price Forecast Models</vt:lpstr>
      <vt:lpstr>Ogboinbiri Project Budget</vt:lpstr>
      <vt:lpstr>Site2 Overview</vt:lpstr>
      <vt:lpstr>Site 2 Cost Model</vt:lpstr>
      <vt:lpstr>Site 2 Project Budget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Tyler Macpherson</dc:creator>
  <cp:keywords/>
  <dc:description/>
  <cp:lastModifiedBy>David Billay</cp:lastModifiedBy>
  <cp:revision/>
  <dcterms:created xsi:type="dcterms:W3CDTF">2024-02-27T19:19:29Z</dcterms:created>
  <dcterms:modified xsi:type="dcterms:W3CDTF">2025-05-22T22:17:17Z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0x01010057B3F7628B51FB4393B631E731175BE1</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Order">
    <vt:r8>2746000</vt:r8>
  </property>
</Properties>
</file>